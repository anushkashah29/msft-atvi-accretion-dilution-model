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How To — Step by Step" sheetId="1" state="visible" r:id="rId1"/>
    <sheet xmlns:r="http://schemas.openxmlformats.org/officeDocument/2006/relationships" name="1 - Sources &amp; Uses" sheetId="2" state="visible" r:id="rId2"/>
    <sheet xmlns:r="http://schemas.openxmlformats.org/officeDocument/2006/relationships" name="2 - Standalone P&amp;L" sheetId="3" state="visible" r:id="rId3"/>
    <sheet xmlns:r="http://schemas.openxmlformats.org/officeDocument/2006/relationships" name="3 - PPA &amp; Amortisation" sheetId="4" state="visible" r:id="rId4"/>
    <sheet xmlns:r="http://schemas.openxmlformats.org/officeDocument/2006/relationships" name="4 - Financing Cost" sheetId="5" state="visible" r:id="rId5"/>
    <sheet xmlns:r="http://schemas.openxmlformats.org/officeDocument/2006/relationships" name="5 - Synergies" sheetId="6" state="visible" r:id="rId6"/>
    <sheet xmlns:r="http://schemas.openxmlformats.org/officeDocument/2006/relationships" name="6 - Pro Forma EPS" sheetId="7" state="visible" r:id="rId7"/>
  </sheets>
  <definedNames/>
  <calcPr calcId="124519" fullCalcOnLoad="1" refMode="A1" iterate="0" iterateCount="100" iterateDelta="0.0001"/>
</workbook>
</file>

<file path=xl/styles.xml><?xml version="1.0" encoding="utf-8"?>
<styleSheet xmlns="http://schemas.openxmlformats.org/spreadsheetml/2006/main">
  <numFmts count="5">
    <numFmt numFmtId="164" formatCode="\$#,##0;&quot;($&quot;#,##0\);\-"/>
    <numFmt numFmtId="165" formatCode="0.0%;\(0.0%\);\-"/>
    <numFmt numFmtId="166" formatCode="\$#,##0.00;&quot;($&quot;#,##0.00\);\-"/>
    <numFmt numFmtId="167" formatCode="\$#,##0"/>
    <numFmt numFmtId="168" formatCode="0.0\x;\(0.0&quot;x)&quot;;\-"/>
  </numFmts>
  <fonts count="29">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4"/>
    </font>
    <font>
      <name val="Arial"/>
      <charset val="1"/>
      <family val="0"/>
      <color rgb="FFC9A84C"/>
      <sz val="10"/>
    </font>
    <font>
      <name val="Arial"/>
      <charset val="1"/>
      <family val="0"/>
      <b val="1"/>
      <color rgb="FF1B3A6B"/>
      <sz val="12"/>
    </font>
    <font>
      <name val="Arial"/>
      <charset val="1"/>
      <family val="0"/>
      <color rgb="FF5A6070"/>
      <sz val="10"/>
    </font>
    <font>
      <name val="Arial"/>
      <charset val="1"/>
      <family val="0"/>
      <b val="1"/>
      <color rgb="FFFFFFFF"/>
      <sz val="10"/>
    </font>
    <font>
      <name val="Arial"/>
      <charset val="1"/>
      <family val="0"/>
      <b val="1"/>
      <color rgb="FF1B3A6B"/>
      <sz val="10"/>
    </font>
    <font>
      <name val="Arial"/>
      <charset val="1"/>
      <family val="0"/>
      <b val="1"/>
      <color rgb="FF185FA5"/>
      <sz val="10"/>
    </font>
    <font>
      <name val="Arial"/>
      <charset val="1"/>
      <family val="0"/>
      <b val="1"/>
      <color rgb="FF085041"/>
      <sz val="10"/>
    </font>
    <font>
      <name val="Arial"/>
      <charset val="1"/>
      <family val="0"/>
      <color rgb="FF085041"/>
      <sz val="10"/>
    </font>
    <font>
      <name val="Arial"/>
      <charset val="1"/>
      <family val="0"/>
      <b val="1"/>
      <color rgb="FF0C447C"/>
      <sz val="10"/>
    </font>
    <font>
      <name val="Arial"/>
      <charset val="1"/>
      <family val="0"/>
      <b val="1"/>
      <color rgb="FF27500A"/>
      <sz val="10"/>
    </font>
    <font>
      <name val="Arial"/>
      <charset val="1"/>
      <family val="0"/>
      <b val="1"/>
      <color rgb="FF791F1F"/>
      <sz val="10"/>
    </font>
    <font>
      <name val="Arial"/>
      <charset val="1"/>
      <family val="0"/>
      <b val="1"/>
      <color rgb="FF633806"/>
      <sz val="10"/>
    </font>
    <font>
      <name val="Arial"/>
      <charset val="1"/>
      <family val="0"/>
      <b val="1"/>
      <color rgb="FFFFFFFF"/>
      <sz val="13"/>
    </font>
    <font>
      <name val="Arial"/>
      <charset val="1"/>
      <family val="0"/>
      <color rgb="FF0000FF"/>
      <sz val="10"/>
    </font>
    <font>
      <name val="Arial"/>
      <charset val="1"/>
      <family val="0"/>
      <i val="1"/>
      <color rgb="FF5A6070"/>
      <sz val="9"/>
    </font>
    <font>
      <name val="Arial"/>
      <charset val="1"/>
      <family val="0"/>
      <b val="1"/>
      <color rgb="FF000000"/>
      <sz val="10"/>
    </font>
    <font>
      <name val="Arial"/>
      <charset val="1"/>
      <family val="0"/>
      <color rgb="FF000000"/>
      <sz val="10"/>
    </font>
    <font>
      <name val="Arial"/>
      <charset val="1"/>
      <family val="0"/>
      <color rgb="FF008000"/>
      <sz val="10"/>
    </font>
    <font>
      <name val="Arial"/>
      <charset val="1"/>
      <family val="0"/>
      <i val="1"/>
      <color rgb="FF5A6070"/>
      <sz val="10"/>
    </font>
    <font>
      <name val="Arial"/>
      <charset val="1"/>
      <family val="0"/>
      <color rgb="FF5A6070"/>
      <sz val="9"/>
    </font>
    <font>
      <name val="Arial"/>
      <charset val="1"/>
      <family val="0"/>
      <color rgb="FFFF0000"/>
      <sz val="10"/>
    </font>
    <font>
      <name val="Arial"/>
      <charset val="1"/>
      <family val="0"/>
      <b val="1"/>
      <color rgb="FF008000"/>
      <sz val="10"/>
    </font>
    <font>
      <name val="Arial"/>
      <charset val="1"/>
      <family val="0"/>
      <color rgb="FF1B3A6B"/>
      <sz val="10"/>
    </font>
    <font>
      <name val="Arial"/>
      <charset val="1"/>
      <family val="0"/>
      <color rgb="FF791F1F"/>
      <sz val="10"/>
    </font>
  </fonts>
  <fills count="14">
    <fill>
      <patternFill/>
    </fill>
    <fill>
      <patternFill patternType="gray125"/>
    </fill>
    <fill>
      <patternFill patternType="solid">
        <fgColor rgb="FF1B3A6B"/>
        <bgColor rgb="FF0C447C"/>
      </patternFill>
    </fill>
    <fill>
      <patternFill patternType="solid">
        <fgColor rgb="FFEBF5EE"/>
        <bgColor rgb="FFEAF3DE"/>
      </patternFill>
    </fill>
    <fill>
      <patternFill patternType="solid">
        <fgColor rgb="FFF4F5F7"/>
        <bgColor rgb="FFEBF5EE"/>
      </patternFill>
    </fill>
    <fill>
      <patternFill patternType="solid">
        <fgColor rgb="FF0000FF"/>
        <bgColor rgb="FF0000FF"/>
      </patternFill>
    </fill>
    <fill>
      <patternFill patternType="solid">
        <fgColor rgb="FF000000"/>
        <bgColor rgb="FF000080"/>
      </patternFill>
    </fill>
    <fill>
      <patternFill patternType="solid">
        <fgColor rgb="FF008000"/>
        <bgColor rgb="FF0F6E56"/>
      </patternFill>
    </fill>
    <fill>
      <patternFill patternType="solid">
        <fgColor rgb="FFE6F1FB"/>
        <bgColor rgb="FFEBF5EE"/>
      </patternFill>
    </fill>
    <fill>
      <patternFill patternType="solid">
        <fgColor rgb="FFEAF3DE"/>
        <bgColor rgb="FFEBF5EE"/>
      </patternFill>
    </fill>
    <fill>
      <patternFill patternType="solid">
        <fgColor rgb="FFFCEBEB"/>
        <bgColor rgb="FFFAEEDA"/>
      </patternFill>
    </fill>
    <fill>
      <patternFill patternType="solid">
        <fgColor rgb="FFFAEEDA"/>
        <bgColor rgb="FFFCEBEB"/>
      </patternFill>
    </fill>
    <fill>
      <patternFill patternType="solid">
        <fgColor rgb="FF2A4F8A"/>
        <bgColor rgb="FF185FA5"/>
      </patternFill>
    </fill>
    <fill>
      <patternFill patternType="solid">
        <fgColor rgb="FFFFFFFF"/>
        <bgColor rgb="FFF4F5F7"/>
      </patternFill>
    </fill>
  </fills>
  <borders count="3">
    <border>
      <left/>
      <right/>
      <top/>
      <bottom/>
      <diagonal/>
    </border>
    <border>
      <left style="thin">
        <color rgb="FF0F6E56"/>
      </left>
      <right/>
      <top/>
      <bottom/>
      <diagonal/>
    </border>
    <border>
      <left/>
      <right/>
      <top style="thin">
        <color rgb="FFD0D4DC"/>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6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2" borderId="0" applyAlignment="1" pivotButton="0" quotePrefix="0" xfId="0">
      <alignment horizontal="general" vertical="bottom"/>
    </xf>
    <xf numFmtId="0" fontId="4" fillId="2" borderId="0" applyAlignment="1" pivotButton="0" quotePrefix="0" xfId="0">
      <alignment horizontal="left" vertical="center"/>
    </xf>
    <xf numFmtId="0" fontId="5" fillId="2" borderId="0" applyAlignment="1" pivotButton="0" quotePrefix="0" xfId="0">
      <alignment horizontal="left" vertical="center"/>
    </xf>
    <xf numFmtId="0" fontId="6" fillId="0" borderId="0" applyAlignment="1" pivotButton="0" quotePrefix="0" xfId="0">
      <alignment horizontal="left" vertical="center"/>
    </xf>
    <xf numFmtId="0" fontId="7" fillId="0" borderId="0" applyAlignment="1" pivotButton="0" quotePrefix="0" xfId="0">
      <alignment horizontal="left" vertical="center" wrapText="1"/>
    </xf>
    <xf numFmtId="0" fontId="8" fillId="2" borderId="0" applyAlignment="1" pivotButton="0" quotePrefix="0" xfId="0">
      <alignment horizontal="left" vertical="center"/>
    </xf>
    <xf numFmtId="0" fontId="9" fillId="0" borderId="0" applyAlignment="1" pivotButton="0" quotePrefix="0" xfId="0">
      <alignment horizontal="left" vertical="center"/>
    </xf>
    <xf numFmtId="0" fontId="10" fillId="0" borderId="0" applyAlignment="1" pivotButton="0" quotePrefix="0" xfId="0">
      <alignment horizontal="left" vertical="center"/>
    </xf>
    <xf numFmtId="0" fontId="11" fillId="0" borderId="0" applyAlignment="1" pivotButton="0" quotePrefix="0" xfId="0">
      <alignment horizontal="left" vertical="center"/>
    </xf>
    <xf numFmtId="0" fontId="12" fillId="3" borderId="1" applyAlignment="1" pivotButton="0" quotePrefix="0" xfId="0">
      <alignment horizontal="left" vertical="center" wrapText="1"/>
    </xf>
    <xf numFmtId="0" fontId="9" fillId="4" borderId="0" applyAlignment="1" pivotButton="0" quotePrefix="0" xfId="0">
      <alignment horizontal="left" vertical="center"/>
    </xf>
    <xf numFmtId="0" fontId="0" fillId="4" borderId="0" applyAlignment="1" pivotButton="0" quotePrefix="0" xfId="0">
      <alignment horizontal="general" vertical="bottom"/>
    </xf>
    <xf numFmtId="0" fontId="8" fillId="5" borderId="0" applyAlignment="1" pivotButton="0" quotePrefix="0" xfId="0">
      <alignment horizontal="left" vertical="center"/>
    </xf>
    <xf numFmtId="0" fontId="7" fillId="0" borderId="0" applyAlignment="1" pivotButton="0" quotePrefix="0" xfId="0">
      <alignment horizontal="left" vertical="center"/>
    </xf>
    <xf numFmtId="0" fontId="8" fillId="6" borderId="0" applyAlignment="1" pivotButton="0" quotePrefix="0" xfId="0">
      <alignment horizontal="left" vertical="center"/>
    </xf>
    <xf numFmtId="0" fontId="8" fillId="7" borderId="0" applyAlignment="1" pivotButton="0" quotePrefix="0" xfId="0">
      <alignment horizontal="left" vertical="center"/>
    </xf>
    <xf numFmtId="0" fontId="13" fillId="8" borderId="0" applyAlignment="1" pivotButton="0" quotePrefix="0" xfId="0">
      <alignment horizontal="left" vertical="center"/>
    </xf>
    <xf numFmtId="0" fontId="14" fillId="9" borderId="0" applyAlignment="1" pivotButton="0" quotePrefix="0" xfId="0">
      <alignment horizontal="left" vertical="center"/>
    </xf>
    <xf numFmtId="0" fontId="15" fillId="10" borderId="0" applyAlignment="1" pivotButton="0" quotePrefix="0" xfId="0">
      <alignment horizontal="left" vertical="center"/>
    </xf>
    <xf numFmtId="0" fontId="16" fillId="11" borderId="0" applyAlignment="1" pivotButton="0" quotePrefix="0" xfId="0">
      <alignment horizontal="left" vertical="center"/>
    </xf>
    <xf numFmtId="0" fontId="17" fillId="2" borderId="0" applyAlignment="1" pivotButton="0" quotePrefix="0" xfId="0">
      <alignment horizontal="left" vertical="center"/>
    </xf>
    <xf numFmtId="0" fontId="8" fillId="12" borderId="0" applyAlignment="1" pivotButton="0" quotePrefix="0" xfId="0">
      <alignment horizontal="left" vertical="center"/>
    </xf>
    <xf numFmtId="0" fontId="8" fillId="12" borderId="0" applyAlignment="1" pivotButton="0" quotePrefix="0" xfId="0">
      <alignment horizontal="right" vertical="center"/>
    </xf>
    <xf numFmtId="164" fontId="18" fillId="0" borderId="0" applyAlignment="1" pivotButton="0" quotePrefix="0" xfId="0">
      <alignment horizontal="right" vertical="center"/>
    </xf>
    <xf numFmtId="0" fontId="19" fillId="0" borderId="0" applyAlignment="1" pivotButton="0" quotePrefix="0" xfId="0">
      <alignment horizontal="left" vertical="center" wrapText="1"/>
    </xf>
    <xf numFmtId="0" fontId="9" fillId="4" borderId="2" applyAlignment="1" pivotButton="0" quotePrefix="0" xfId="0">
      <alignment horizontal="left" vertical="center"/>
    </xf>
    <xf numFmtId="164" fontId="20" fillId="4" borderId="2" applyAlignment="1" pivotButton="0" quotePrefix="0" xfId="0">
      <alignment horizontal="right" vertical="center"/>
    </xf>
    <xf numFmtId="165" fontId="20" fillId="4" borderId="0" applyAlignment="1" pivotButton="0" quotePrefix="0" xfId="0">
      <alignment horizontal="right" vertical="center"/>
    </xf>
    <xf numFmtId="0" fontId="20" fillId="0" borderId="0" applyAlignment="1" pivotButton="0" quotePrefix="0" xfId="0">
      <alignment horizontal="left" vertical="center"/>
    </xf>
    <xf numFmtId="164" fontId="20" fillId="0" borderId="0" applyAlignment="1" pivotButton="0" quotePrefix="0" xfId="0">
      <alignment horizontal="right" vertical="center"/>
    </xf>
    <xf numFmtId="164" fontId="21" fillId="0" borderId="0" applyAlignment="1" pivotButton="0" quotePrefix="0" xfId="0">
      <alignment horizontal="right" vertical="center"/>
    </xf>
    <xf numFmtId="165" fontId="21" fillId="0" borderId="0" applyAlignment="1" pivotButton="0" quotePrefix="0" xfId="0">
      <alignment horizontal="right" vertical="center"/>
    </xf>
    <xf numFmtId="164" fontId="20" fillId="4" borderId="0" applyAlignment="1" pivotButton="0" quotePrefix="0" xfId="0">
      <alignment horizontal="right" vertical="center"/>
    </xf>
    <xf numFmtId="0" fontId="20" fillId="8" borderId="0" applyAlignment="1" pivotButton="0" quotePrefix="0" xfId="0">
      <alignment horizontal="left" vertical="center"/>
    </xf>
    <xf numFmtId="164" fontId="9" fillId="8" borderId="0" applyAlignment="1" pivotButton="0" quotePrefix="0" xfId="0">
      <alignment horizontal="right" vertical="center"/>
    </xf>
    <xf numFmtId="0" fontId="0" fillId="8" borderId="0" applyAlignment="1" pivotButton="0" quotePrefix="0" xfId="0">
      <alignment horizontal="general" vertical="bottom"/>
    </xf>
    <xf numFmtId="166" fontId="9" fillId="8" borderId="0" applyAlignment="1" pivotButton="0" quotePrefix="0" xfId="0">
      <alignment horizontal="right" vertical="center"/>
    </xf>
    <xf numFmtId="167" fontId="18" fillId="0" borderId="0" applyAlignment="1" pivotButton="0" quotePrefix="0" xfId="0">
      <alignment horizontal="right" vertical="center"/>
    </xf>
    <xf numFmtId="168" fontId="20" fillId="4" borderId="0" applyAlignment="1" pivotButton="0" quotePrefix="0" xfId="0">
      <alignment horizontal="right" vertical="center"/>
    </xf>
    <xf numFmtId="0" fontId="9" fillId="0" borderId="0" applyAlignment="1" pivotButton="0" quotePrefix="0" xfId="0">
      <alignment horizontal="left" vertical="center" wrapText="1"/>
    </xf>
    <xf numFmtId="168" fontId="21" fillId="0" borderId="0" applyAlignment="1" pivotButton="0" quotePrefix="0" xfId="0">
      <alignment horizontal="right" vertical="center"/>
    </xf>
    <xf numFmtId="0" fontId="18" fillId="0" borderId="0" applyAlignment="1" pivotButton="0" quotePrefix="0" xfId="0">
      <alignment horizontal="center" vertical="center"/>
    </xf>
    <xf numFmtId="164" fontId="22" fillId="0" borderId="0" applyAlignment="1" pivotButton="0" quotePrefix="0" xfId="0">
      <alignment horizontal="right" vertical="center"/>
    </xf>
    <xf numFmtId="0" fontId="23" fillId="0" borderId="0" applyAlignment="1" pivotButton="0" quotePrefix="0" xfId="0">
      <alignment horizontal="center" vertical="center"/>
    </xf>
    <xf numFmtId="0" fontId="7" fillId="0" borderId="0" applyAlignment="1" pivotButton="0" quotePrefix="0" xfId="0">
      <alignment horizontal="center" vertical="center"/>
    </xf>
    <xf numFmtId="164" fontId="20" fillId="11" borderId="0" applyAlignment="1" pivotButton="0" quotePrefix="0" xfId="0">
      <alignment horizontal="right" vertical="center"/>
    </xf>
    <xf numFmtId="165" fontId="22" fillId="0" borderId="0" applyAlignment="1" pivotButton="0" quotePrefix="0" xfId="0">
      <alignment horizontal="right" vertical="center"/>
    </xf>
    <xf numFmtId="164" fontId="15" fillId="10" borderId="0" applyAlignment="1" pivotButton="0" quotePrefix="0" xfId="0">
      <alignment horizontal="right" vertical="center"/>
    </xf>
    <xf numFmtId="166" fontId="15" fillId="10" borderId="0" applyAlignment="1" pivotButton="0" quotePrefix="0" xfId="0">
      <alignment horizontal="right" vertical="center"/>
    </xf>
    <xf numFmtId="0" fontId="19" fillId="13" borderId="0" applyAlignment="1" pivotButton="0" quotePrefix="0" xfId="0">
      <alignment horizontal="left" vertical="center" wrapText="1"/>
    </xf>
    <xf numFmtId="165" fontId="18" fillId="0" borderId="0" applyAlignment="1" pivotButton="0" quotePrefix="0" xfId="0">
      <alignment horizontal="right" vertical="center"/>
    </xf>
    <xf numFmtId="0" fontId="0" fillId="10" borderId="0" applyAlignment="1" pivotButton="0" quotePrefix="0" xfId="0">
      <alignment horizontal="general" vertical="bottom"/>
    </xf>
    <xf numFmtId="0" fontId="24" fillId="0" borderId="0" applyAlignment="1" pivotButton="0" quotePrefix="0" xfId="0">
      <alignment horizontal="left" vertical="center" wrapText="1"/>
    </xf>
    <xf numFmtId="0" fontId="9" fillId="9" borderId="2" applyAlignment="1" pivotButton="0" quotePrefix="0" xfId="0">
      <alignment horizontal="left" vertical="center"/>
    </xf>
    <xf numFmtId="0" fontId="0" fillId="9" borderId="0" applyAlignment="1" pivotButton="0" quotePrefix="0" xfId="0">
      <alignment horizontal="general" vertical="bottom"/>
    </xf>
    <xf numFmtId="164" fontId="20" fillId="9" borderId="2" applyAlignment="1" pivotButton="0" quotePrefix="0" xfId="0">
      <alignment horizontal="right" vertical="center"/>
    </xf>
    <xf numFmtId="0" fontId="11" fillId="9" borderId="0" applyAlignment="1" pivotButton="0" quotePrefix="0" xfId="0">
      <alignment horizontal="left" vertical="center"/>
    </xf>
    <xf numFmtId="164" fontId="11" fillId="9" borderId="0" applyAlignment="1" pivotButton="0" quotePrefix="0" xfId="0">
      <alignment horizontal="right" vertical="center"/>
    </xf>
    <xf numFmtId="164" fontId="20" fillId="9" borderId="0" applyAlignment="1" pivotButton="0" quotePrefix="0" xfId="0">
      <alignment horizontal="right" vertical="center"/>
    </xf>
    <xf numFmtId="166" fontId="11" fillId="9" borderId="0" applyAlignment="1" pivotButton="0" quotePrefix="0" xfId="0">
      <alignment horizontal="right" vertical="center"/>
    </xf>
    <xf numFmtId="0" fontId="9" fillId="8" borderId="0" applyAlignment="1" pivotButton="0" quotePrefix="0" xfId="0">
      <alignment horizontal="left" vertical="center"/>
    </xf>
    <xf numFmtId="0" fontId="19" fillId="8" borderId="0" applyAlignment="1" pivotButton="0" quotePrefix="0" xfId="0">
      <alignment horizontal="left" vertical="center" wrapText="1"/>
    </xf>
    <xf numFmtId="164" fontId="22" fillId="9" borderId="0" applyAlignment="1" pivotButton="0" quotePrefix="0" xfId="0">
      <alignment horizontal="right" vertical="center"/>
    </xf>
    <xf numFmtId="164" fontId="25" fillId="10" borderId="0" applyAlignment="1" pivotButton="0" quotePrefix="0" xfId="0">
      <alignment horizontal="right" vertical="center"/>
    </xf>
    <xf numFmtId="166" fontId="26" fillId="0" borderId="0" applyAlignment="1" pivotButton="0" quotePrefix="0" xfId="0">
      <alignment horizontal="right" vertical="center"/>
    </xf>
    <xf numFmtId="166" fontId="20" fillId="0" borderId="0" applyAlignment="1" pivotButton="0" quotePrefix="0" xfId="0">
      <alignment horizontal="right" vertical="center"/>
    </xf>
    <xf numFmtId="165" fontId="16" fillId="11" borderId="0" applyAlignment="1" pivotButton="0" quotePrefix="0" xfId="0">
      <alignment horizontal="right" vertical="center"/>
    </xf>
    <xf numFmtId="0" fontId="0" fillId="11" borderId="0" applyAlignment="1" pivotButton="0" quotePrefix="0" xfId="0">
      <alignment horizontal="general" vertical="bottom"/>
    </xf>
    <xf numFmtId="0" fontId="23" fillId="0" borderId="0" applyAlignment="1" pivotButton="0" quotePrefix="0" xfId="0">
      <alignment horizontal="left" vertical="center"/>
    </xf>
    <xf numFmtId="0" fontId="9" fillId="4" borderId="0" applyAlignment="1" pivotButton="0" quotePrefix="0" xfId="0">
      <alignment horizontal="center" vertical="center"/>
    </xf>
    <xf numFmtId="0" fontId="9" fillId="4" borderId="0" applyAlignment="1" pivotButton="0" quotePrefix="0" xfId="0">
      <alignment horizontal="right" vertical="center"/>
    </xf>
    <xf numFmtId="165" fontId="21" fillId="0" borderId="0" applyAlignment="1" pivotButton="0" quotePrefix="0" xfId="0">
      <alignment horizontal="right" vertical="center"/>
    </xf>
    <xf numFmtId="165" fontId="8" fillId="2" borderId="0" applyAlignment="1" pivotButton="0" quotePrefix="0" xfId="0">
      <alignment horizontal="right" vertical="center"/>
    </xf>
    <xf numFmtId="0" fontId="23" fillId="0" borderId="0" applyAlignment="1" pivotButton="0" quotePrefix="0" xfId="0">
      <alignment horizontal="left" vertical="center" wrapText="1"/>
    </xf>
    <xf numFmtId="0" fontId="27" fillId="8" borderId="0" applyAlignment="1" pivotButton="0" quotePrefix="0" xfId="0">
      <alignment horizontal="left" vertical="center"/>
    </xf>
    <xf numFmtId="166" fontId="27" fillId="8" borderId="0" applyAlignment="1" pivotButton="0" quotePrefix="0" xfId="0">
      <alignment horizontal="right" vertical="center"/>
    </xf>
    <xf numFmtId="0" fontId="12" fillId="9" borderId="0" applyAlignment="1" pivotButton="0" quotePrefix="0" xfId="0">
      <alignment horizontal="left" vertical="center"/>
    </xf>
    <xf numFmtId="166" fontId="12" fillId="9" borderId="0" applyAlignment="1" pivotButton="0" quotePrefix="0" xfId="0">
      <alignment horizontal="right" vertical="center"/>
    </xf>
    <xf numFmtId="0" fontId="28" fillId="10" borderId="0" applyAlignment="1" pivotButton="0" quotePrefix="0" xfId="0">
      <alignment horizontal="left" vertical="center"/>
    </xf>
    <xf numFmtId="166" fontId="28" fillId="10" borderId="0" applyAlignment="1" pivotButton="0" quotePrefix="0" xfId="0">
      <alignment horizontal="right" vertical="center"/>
    </xf>
    <xf numFmtId="0" fontId="0" fillId="0" borderId="0" applyAlignment="1" pivotButton="0" quotePrefix="0" xfId="0">
      <alignment horizontal="general" vertical="bottom"/>
    </xf>
    <xf numFmtId="0" fontId="0" fillId="0" borderId="0" pivotButton="0" quotePrefix="0" xfId="0"/>
    <xf numFmtId="0" fontId="0" fillId="2" borderId="0" applyAlignment="1" pivotButton="0" quotePrefix="0" xfId="0">
      <alignment horizontal="general" vertical="bottom"/>
    </xf>
    <xf numFmtId="0" fontId="4" fillId="2" borderId="0" applyAlignment="1" pivotButton="0" quotePrefix="0" xfId="0">
      <alignment horizontal="left" vertical="center"/>
    </xf>
    <xf numFmtId="0" fontId="5" fillId="2" borderId="0" applyAlignment="1" pivotButton="0" quotePrefix="0" xfId="0">
      <alignment horizontal="left" vertical="center"/>
    </xf>
    <xf numFmtId="0" fontId="6" fillId="0" borderId="0" applyAlignment="1" pivotButton="0" quotePrefix="0" xfId="0">
      <alignment horizontal="left" vertical="center"/>
    </xf>
    <xf numFmtId="0" fontId="7" fillId="0" borderId="0" applyAlignment="1" pivotButton="0" quotePrefix="0" xfId="0">
      <alignment horizontal="left" vertical="center" wrapText="1"/>
    </xf>
    <xf numFmtId="0" fontId="8" fillId="2" borderId="0" applyAlignment="1" pivotButton="0" quotePrefix="0" xfId="0">
      <alignment horizontal="left" vertical="center"/>
    </xf>
    <xf numFmtId="0" fontId="9" fillId="0" borderId="0" applyAlignment="1" pivotButton="0" quotePrefix="0" xfId="0">
      <alignment horizontal="left" vertical="center"/>
    </xf>
    <xf numFmtId="0" fontId="10" fillId="0" borderId="0" applyAlignment="1" pivotButton="0" quotePrefix="0" xfId="0">
      <alignment horizontal="left" vertical="center"/>
    </xf>
    <xf numFmtId="0" fontId="11" fillId="0" borderId="0" applyAlignment="1" pivotButton="0" quotePrefix="0" xfId="0">
      <alignment horizontal="left" vertical="center"/>
    </xf>
    <xf numFmtId="0" fontId="12" fillId="3" borderId="1" applyAlignment="1" pivotButton="0" quotePrefix="0" xfId="0">
      <alignment horizontal="left" vertical="center" wrapText="1"/>
    </xf>
    <xf numFmtId="0" fontId="9" fillId="4" borderId="0" applyAlignment="1" pivotButton="0" quotePrefix="0" xfId="0">
      <alignment horizontal="left" vertical="center"/>
    </xf>
    <xf numFmtId="0" fontId="0" fillId="4" borderId="0" applyAlignment="1" pivotButton="0" quotePrefix="0" xfId="0">
      <alignment horizontal="general" vertical="bottom"/>
    </xf>
    <xf numFmtId="0" fontId="8" fillId="5" borderId="0" applyAlignment="1" pivotButton="0" quotePrefix="0" xfId="0">
      <alignment horizontal="left" vertical="center"/>
    </xf>
    <xf numFmtId="0" fontId="7" fillId="0" borderId="0" applyAlignment="1" pivotButton="0" quotePrefix="0" xfId="0">
      <alignment horizontal="left" vertical="center"/>
    </xf>
    <xf numFmtId="0" fontId="8" fillId="6" borderId="0" applyAlignment="1" pivotButton="0" quotePrefix="0" xfId="0">
      <alignment horizontal="left" vertical="center"/>
    </xf>
    <xf numFmtId="0" fontId="8" fillId="7" borderId="0" applyAlignment="1" pivotButton="0" quotePrefix="0" xfId="0">
      <alignment horizontal="left" vertical="center"/>
    </xf>
    <xf numFmtId="0" fontId="13" fillId="8" borderId="0" applyAlignment="1" pivotButton="0" quotePrefix="0" xfId="0">
      <alignment horizontal="left" vertical="center"/>
    </xf>
    <xf numFmtId="0" fontId="14" fillId="9" borderId="0" applyAlignment="1" pivotButton="0" quotePrefix="0" xfId="0">
      <alignment horizontal="left" vertical="center"/>
    </xf>
    <xf numFmtId="0" fontId="15" fillId="10" borderId="0" applyAlignment="1" pivotButton="0" quotePrefix="0" xfId="0">
      <alignment horizontal="left" vertical="center"/>
    </xf>
    <xf numFmtId="0" fontId="16" fillId="11" borderId="0" applyAlignment="1" pivotButton="0" quotePrefix="0" xfId="0">
      <alignment horizontal="left" vertical="center"/>
    </xf>
    <xf numFmtId="0" fontId="17" fillId="2" borderId="0" applyAlignment="1" pivotButton="0" quotePrefix="0" xfId="0">
      <alignment horizontal="left" vertical="center"/>
    </xf>
    <xf numFmtId="0" fontId="8" fillId="12" borderId="0" applyAlignment="1" pivotButton="0" quotePrefix="0" xfId="0">
      <alignment horizontal="left" vertical="center"/>
    </xf>
    <xf numFmtId="0" fontId="8" fillId="12" borderId="0" applyAlignment="1" pivotButton="0" quotePrefix="0" xfId="0">
      <alignment horizontal="right" vertical="center"/>
    </xf>
    <xf numFmtId="164" fontId="18" fillId="0" borderId="0" applyAlignment="1" pivotButton="0" quotePrefix="0" xfId="0">
      <alignment horizontal="right" vertical="center"/>
    </xf>
    <xf numFmtId="0" fontId="19" fillId="0" borderId="0" applyAlignment="1" pivotButton="0" quotePrefix="0" xfId="0">
      <alignment horizontal="left" vertical="center" wrapText="1"/>
    </xf>
    <xf numFmtId="0" fontId="9" fillId="4" borderId="2" applyAlignment="1" pivotButton="0" quotePrefix="0" xfId="0">
      <alignment horizontal="left" vertical="center"/>
    </xf>
    <xf numFmtId="164" fontId="20" fillId="4" borderId="2" applyAlignment="1" pivotButton="0" quotePrefix="0" xfId="0">
      <alignment horizontal="right" vertical="center"/>
    </xf>
    <xf numFmtId="165" fontId="20" fillId="4" borderId="0" applyAlignment="1" pivotButton="0" quotePrefix="0" xfId="0">
      <alignment horizontal="right" vertical="center"/>
    </xf>
    <xf numFmtId="0" fontId="20" fillId="0" borderId="0" applyAlignment="1" pivotButton="0" quotePrefix="0" xfId="0">
      <alignment horizontal="left" vertical="center"/>
    </xf>
    <xf numFmtId="164" fontId="20" fillId="0" borderId="0" applyAlignment="1" pivotButton="0" quotePrefix="0" xfId="0">
      <alignment horizontal="right" vertical="center"/>
    </xf>
    <xf numFmtId="164" fontId="21" fillId="0" borderId="0" applyAlignment="1" pivotButton="0" quotePrefix="0" xfId="0">
      <alignment horizontal="right" vertical="center"/>
    </xf>
    <xf numFmtId="165" fontId="21" fillId="0" borderId="0" applyAlignment="1" pivotButton="0" quotePrefix="0" xfId="0">
      <alignment horizontal="right" vertical="center"/>
    </xf>
    <xf numFmtId="164" fontId="20" fillId="4" borderId="0" applyAlignment="1" pivotButton="0" quotePrefix="0" xfId="0">
      <alignment horizontal="right" vertical="center"/>
    </xf>
    <xf numFmtId="0" fontId="20" fillId="8" borderId="0" applyAlignment="1" pivotButton="0" quotePrefix="0" xfId="0">
      <alignment horizontal="left" vertical="center"/>
    </xf>
    <xf numFmtId="164" fontId="9" fillId="8" borderId="0" applyAlignment="1" pivotButton="0" quotePrefix="0" xfId="0">
      <alignment horizontal="right" vertical="center"/>
    </xf>
    <xf numFmtId="0" fontId="0" fillId="8" borderId="0" applyAlignment="1" pivotButton="0" quotePrefix="0" xfId="0">
      <alignment horizontal="general" vertical="bottom"/>
    </xf>
    <xf numFmtId="166" fontId="9" fillId="8" borderId="0" applyAlignment="1" pivotButton="0" quotePrefix="0" xfId="0">
      <alignment horizontal="right" vertical="center"/>
    </xf>
    <xf numFmtId="167" fontId="18" fillId="0" borderId="0" applyAlignment="1" pivotButton="0" quotePrefix="0" xfId="0">
      <alignment horizontal="right" vertical="center"/>
    </xf>
    <xf numFmtId="168" fontId="20" fillId="4" borderId="0" applyAlignment="1" pivotButton="0" quotePrefix="0" xfId="0">
      <alignment horizontal="right" vertical="center"/>
    </xf>
    <xf numFmtId="0" fontId="9" fillId="0" borderId="0" applyAlignment="1" pivotButton="0" quotePrefix="0" xfId="0">
      <alignment horizontal="left" vertical="center" wrapText="1"/>
    </xf>
    <xf numFmtId="168" fontId="21" fillId="0" borderId="0" applyAlignment="1" pivotButton="0" quotePrefix="0" xfId="0">
      <alignment horizontal="right" vertical="center"/>
    </xf>
    <xf numFmtId="0" fontId="18" fillId="0" borderId="0" applyAlignment="1" pivotButton="0" quotePrefix="0" xfId="0">
      <alignment horizontal="center" vertical="center"/>
    </xf>
    <xf numFmtId="164" fontId="22" fillId="0" borderId="0" applyAlignment="1" pivotButton="0" quotePrefix="0" xfId="0">
      <alignment horizontal="right" vertical="center"/>
    </xf>
    <xf numFmtId="0" fontId="23" fillId="0" borderId="0" applyAlignment="1" pivotButton="0" quotePrefix="0" xfId="0">
      <alignment horizontal="center" vertical="center"/>
    </xf>
    <xf numFmtId="0" fontId="7" fillId="0" borderId="0" applyAlignment="1" pivotButton="0" quotePrefix="0" xfId="0">
      <alignment horizontal="center" vertical="center"/>
    </xf>
    <xf numFmtId="164" fontId="20" fillId="11" borderId="0" applyAlignment="1" pivotButton="0" quotePrefix="0" xfId="0">
      <alignment horizontal="right" vertical="center"/>
    </xf>
    <xf numFmtId="165" fontId="22" fillId="0" borderId="0" applyAlignment="1" pivotButton="0" quotePrefix="0" xfId="0">
      <alignment horizontal="right" vertical="center"/>
    </xf>
    <xf numFmtId="164" fontId="15" fillId="10" borderId="0" applyAlignment="1" pivotButton="0" quotePrefix="0" xfId="0">
      <alignment horizontal="right" vertical="center"/>
    </xf>
    <xf numFmtId="166" fontId="15" fillId="10" borderId="0" applyAlignment="1" pivotButton="0" quotePrefix="0" xfId="0">
      <alignment horizontal="right" vertical="center"/>
    </xf>
    <xf numFmtId="0" fontId="19" fillId="13" borderId="0" applyAlignment="1" pivotButton="0" quotePrefix="0" xfId="0">
      <alignment horizontal="left" vertical="center" wrapText="1"/>
    </xf>
    <xf numFmtId="165" fontId="18" fillId="0" borderId="0" applyAlignment="1" pivotButton="0" quotePrefix="0" xfId="0">
      <alignment horizontal="right" vertical="center"/>
    </xf>
    <xf numFmtId="0" fontId="0" fillId="10" borderId="0" applyAlignment="1" pivotButton="0" quotePrefix="0" xfId="0">
      <alignment horizontal="general" vertical="bottom"/>
    </xf>
    <xf numFmtId="0" fontId="24" fillId="0" borderId="0" applyAlignment="1" pivotButton="0" quotePrefix="0" xfId="0">
      <alignment horizontal="left" vertical="center" wrapText="1"/>
    </xf>
    <xf numFmtId="0" fontId="9" fillId="9" borderId="2" applyAlignment="1" pivotButton="0" quotePrefix="0" xfId="0">
      <alignment horizontal="left" vertical="center"/>
    </xf>
    <xf numFmtId="0" fontId="0" fillId="9" borderId="0" applyAlignment="1" pivotButton="0" quotePrefix="0" xfId="0">
      <alignment horizontal="general" vertical="bottom"/>
    </xf>
    <xf numFmtId="164" fontId="20" fillId="9" borderId="2" applyAlignment="1" pivotButton="0" quotePrefix="0" xfId="0">
      <alignment horizontal="right" vertical="center"/>
    </xf>
    <xf numFmtId="0" fontId="11" fillId="9" borderId="0" applyAlignment="1" pivotButton="0" quotePrefix="0" xfId="0">
      <alignment horizontal="left" vertical="center"/>
    </xf>
    <xf numFmtId="164" fontId="11" fillId="9" borderId="0" applyAlignment="1" pivotButton="0" quotePrefix="0" xfId="0">
      <alignment horizontal="right" vertical="center"/>
    </xf>
    <xf numFmtId="164" fontId="20" fillId="9" borderId="0" applyAlignment="1" pivotButton="0" quotePrefix="0" xfId="0">
      <alignment horizontal="right" vertical="center"/>
    </xf>
    <xf numFmtId="166" fontId="11" fillId="9" borderId="0" applyAlignment="1" pivotButton="0" quotePrefix="0" xfId="0">
      <alignment horizontal="right" vertical="center"/>
    </xf>
    <xf numFmtId="0" fontId="9" fillId="8" borderId="0" applyAlignment="1" pivotButton="0" quotePrefix="0" xfId="0">
      <alignment horizontal="left" vertical="center"/>
    </xf>
    <xf numFmtId="0" fontId="19" fillId="8" borderId="0" applyAlignment="1" pivotButton="0" quotePrefix="0" xfId="0">
      <alignment horizontal="left" vertical="center" wrapText="1"/>
    </xf>
    <xf numFmtId="164" fontId="22" fillId="9" borderId="0" applyAlignment="1" pivotButton="0" quotePrefix="0" xfId="0">
      <alignment horizontal="right" vertical="center"/>
    </xf>
    <xf numFmtId="164" fontId="25" fillId="10" borderId="0" applyAlignment="1" pivotButton="0" quotePrefix="0" xfId="0">
      <alignment horizontal="right" vertical="center"/>
    </xf>
    <xf numFmtId="166" fontId="26" fillId="0" borderId="0" applyAlignment="1" pivotButton="0" quotePrefix="0" xfId="0">
      <alignment horizontal="right" vertical="center"/>
    </xf>
    <xf numFmtId="166" fontId="20" fillId="0" borderId="0" applyAlignment="1" pivotButton="0" quotePrefix="0" xfId="0">
      <alignment horizontal="right" vertical="center"/>
    </xf>
    <xf numFmtId="165" fontId="16" fillId="11" borderId="0" applyAlignment="1" pivotButton="0" quotePrefix="0" xfId="0">
      <alignment horizontal="right" vertical="center"/>
    </xf>
    <xf numFmtId="0" fontId="0" fillId="11" borderId="0" applyAlignment="1" pivotButton="0" quotePrefix="0" xfId="0">
      <alignment horizontal="general" vertical="bottom"/>
    </xf>
    <xf numFmtId="0" fontId="23" fillId="0" borderId="0" applyAlignment="1" pivotButton="0" quotePrefix="0" xfId="0">
      <alignment horizontal="left" vertical="center"/>
    </xf>
    <xf numFmtId="0" fontId="9" fillId="4" borderId="0" applyAlignment="1" pivotButton="0" quotePrefix="0" xfId="0">
      <alignment horizontal="center" vertical="center"/>
    </xf>
    <xf numFmtId="0" fontId="9" fillId="4" borderId="0" applyAlignment="1" pivotButton="0" quotePrefix="0" xfId="0">
      <alignment horizontal="right" vertical="center"/>
    </xf>
    <xf numFmtId="165" fontId="8" fillId="2" borderId="0" applyAlignment="1" pivotButton="0" quotePrefix="0" xfId="0">
      <alignment horizontal="right" vertical="center"/>
    </xf>
    <xf numFmtId="0" fontId="23" fillId="0" borderId="0" applyAlignment="1" pivotButton="0" quotePrefix="0" xfId="0">
      <alignment horizontal="left" vertical="center" wrapText="1"/>
    </xf>
    <xf numFmtId="0" fontId="27" fillId="8" borderId="0" applyAlignment="1" pivotButton="0" quotePrefix="0" xfId="0">
      <alignment horizontal="left" vertical="center"/>
    </xf>
    <xf numFmtId="166" fontId="27" fillId="8" borderId="0" applyAlignment="1" pivotButton="0" quotePrefix="0" xfId="0">
      <alignment horizontal="right" vertical="center"/>
    </xf>
    <xf numFmtId="0" fontId="12" fillId="9" borderId="0" applyAlignment="1" pivotButton="0" quotePrefix="0" xfId="0">
      <alignment horizontal="left" vertical="center"/>
    </xf>
    <xf numFmtId="166" fontId="12" fillId="9" borderId="0" applyAlignment="1" pivotButton="0" quotePrefix="0" xfId="0">
      <alignment horizontal="right" vertical="center"/>
    </xf>
    <xf numFmtId="0" fontId="28" fillId="10" borderId="0" applyAlignment="1" pivotButton="0" quotePrefix="0" xfId="0">
      <alignment horizontal="left" vertical="center"/>
    </xf>
    <xf numFmtId="166" fontId="28" fillId="10" borderId="0" applyAlignment="1" pivotButton="0" quotePrefix="0" xfId="0">
      <alignment horizontal="right"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791F1F"/>
      <rgbColor rgb="FF008000"/>
      <rgbColor rgb="FF000080"/>
      <rgbColor rgb="FF3B6D11"/>
      <rgbColor rgb="FF800080"/>
      <rgbColor rgb="FF0F6E56"/>
      <rgbColor rgb="FFC0C0C0"/>
      <rgbColor rgb="FF808080"/>
      <rgbColor rgb="FF9999FF"/>
      <rgbColor rgb="FF993366"/>
      <rgbColor rgb="FFFAEEDA"/>
      <rgbColor rgb="FFE6F1FB"/>
      <rgbColor rgb="FF660066"/>
      <rgbColor rgb="FFFF8080"/>
      <rgbColor rgb="FF185FA5"/>
      <rgbColor rgb="FFD0D4DC"/>
      <rgbColor rgb="FF000080"/>
      <rgbColor rgb="FFFF00FF"/>
      <rgbColor rgb="FFFFFF00"/>
      <rgbColor rgb="FF00FFFF"/>
      <rgbColor rgb="FF800080"/>
      <rgbColor rgb="FF800000"/>
      <rgbColor rgb="FF0C447C"/>
      <rgbColor rgb="FF0000FF"/>
      <rgbColor rgb="FF00CCFF"/>
      <rgbColor rgb="FFEBF5EE"/>
      <rgbColor rgb="FFEAF3DE"/>
      <rgbColor rgb="FFFCEBEB"/>
      <rgbColor rgb="FF99CCFF"/>
      <rgbColor rgb="FFFF99CC"/>
      <rgbColor rgb="FFCC99FF"/>
      <rgbColor rgb="FFF4F5F7"/>
      <rgbColor rgb="FF3366FF"/>
      <rgbColor rgb="FF33CCCC"/>
      <rgbColor rgb="FF99CC00"/>
      <rgbColor rgb="FFFFCC00"/>
      <rgbColor rgb="FFFF9900"/>
      <rgbColor rgb="FFFF6600"/>
      <rgbColor rgb="FF5A6070"/>
      <rgbColor rgb="FFC9A84C"/>
      <rgbColor rgb="FF1B3A6B"/>
      <rgbColor rgb="FF339966"/>
      <rgbColor rgb="FF085041"/>
      <rgbColor rgb="FF27500A"/>
      <rgbColor rgb="FF993C1D"/>
      <rgbColor rgb="FF993366"/>
      <rgbColor rgb="FF2A4F8A"/>
      <rgbColor rgb="FF633806"/>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C9A84C"/>
    <outlinePr summaryBelow="1" summaryRight="1"/>
    <pageSetUpPr fitToPage="0"/>
  </sheetPr>
  <dimension ref="A1:G60"/>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82" min="1" max="1"/>
    <col width="38" customWidth="1" style="82" min="2" max="2"/>
    <col width="18" customWidth="1" style="82" min="3" max="3"/>
    <col width="22" customWidth="1" style="82" min="4" max="4"/>
    <col width="18" customWidth="1" style="82" min="5" max="5"/>
    <col width="22" customWidth="1" style="82" min="6" max="6"/>
  </cols>
  <sheetData>
    <row r="1" ht="15.75" customHeight="1" s="83">
      <c r="A1" s="84" t="n"/>
      <c r="B1" s="84" t="n"/>
      <c r="C1" s="84" t="n"/>
      <c r="D1" s="84" t="n"/>
      <c r="E1" s="84" t="n"/>
      <c r="F1" s="84" t="n"/>
      <c r="G1" s="84" t="n"/>
    </row>
    <row r="2" ht="15.75" customHeight="1" s="83">
      <c r="A2" s="84" t="n"/>
      <c r="B2" s="85" t="inlineStr">
        <is>
          <t>M&amp;A ACCRETION / DILUTION MODEL — STEP-BY-STEP GUIDE</t>
        </is>
      </c>
      <c r="C2" s="84" t="n"/>
      <c r="D2" s="84" t="n"/>
      <c r="E2" s="84" t="n"/>
      <c r="F2" s="84" t="n"/>
      <c r="G2" s="84" t="n"/>
    </row>
    <row r="3" ht="15.75" customHeight="1" s="83">
      <c r="A3" s="84" t="n"/>
      <c r="B3" s="86" t="inlineStr">
        <is>
          <t>Microsoft / Activision Blizzard  |  Deal closed October 13, 2023  |  $68.7B all-cash</t>
        </is>
      </c>
      <c r="C3" s="84" t="n"/>
      <c r="D3" s="84" t="n"/>
      <c r="E3" s="84" t="n"/>
      <c r="F3" s="84" t="n"/>
      <c r="G3" s="84" t="n"/>
    </row>
    <row r="4" ht="15.75" customHeight="1" s="83">
      <c r="A4" s="84" t="n"/>
      <c r="B4" s="84" t="n"/>
      <c r="C4" s="84" t="n"/>
      <c r="D4" s="84" t="n"/>
      <c r="E4" s="84" t="n"/>
      <c r="F4" s="84" t="n"/>
      <c r="G4" s="84" t="n"/>
    </row>
    <row r="5" ht="4.5" customHeight="1" s="83"/>
    <row r="6" ht="18" customHeight="1" s="83">
      <c r="B6" s="87" t="inlineStr">
        <is>
          <t>What is accretion / dilution analysis?</t>
        </is>
      </c>
    </row>
    <row r="7" ht="49.5" customHeight="1" s="83">
      <c r="B7" s="88" t="inlineStr">
        <is>
          <t>Accretion / dilution measures whether an acquisition INCREASES or DECREASES the acquirer's earnings per share (EPS). If pro forma EPS &gt; standalone EPS, the deal is ACCRETIVE. If pro forma EPS &lt; standalone EPS, it is DILUTIVE. Every IB analyst builds this model for every deal. It is the primary financial health check before a board approves a transaction.</t>
        </is>
      </c>
    </row>
    <row r="8" ht="4.5" customHeight="1" s="83"/>
    <row r="9" ht="18" customHeight="1" s="83">
      <c r="B9" s="89" t="inlineStr">
        <is>
          <t xml:space="preserve">  STEP 1: Sources &amp; Uses of Funds</t>
        </is>
      </c>
      <c r="C9" s="84" t="n"/>
      <c r="D9" s="84" t="n"/>
      <c r="E9" s="84" t="n"/>
      <c r="F9" s="84" t="n"/>
    </row>
    <row r="10" ht="13.5" customHeight="1" s="83">
      <c r="B10" s="90" t="inlineStr">
        <is>
          <t>What you do:</t>
        </is>
      </c>
    </row>
    <row r="11" ht="39.75" customHeight="1" s="83">
      <c r="B11" s="88" t="inlineStr">
        <is>
          <t>Determine how the acquisition is financed — existing cash, new debt, or new equity (stock). For Microsoft/Activision: 100% cash deal. $20B from MSFT's balance sheet + $50.5B in new debt. No new shares issued → share count unchanged → EPS denominator is fixed.</t>
        </is>
      </c>
    </row>
    <row r="12" ht="13.5" customHeight="1" s="83">
      <c r="B12" s="91" t="inlineStr">
        <is>
          <t>→ See tab: '1 - Sources &amp; Uses'</t>
        </is>
      </c>
    </row>
    <row r="13" ht="13.5" customHeight="1" s="83">
      <c r="B13" s="92" t="inlineStr">
        <is>
          <t>Why it matters:</t>
        </is>
      </c>
    </row>
    <row r="14" ht="39.75" customHeight="1" s="83">
      <c r="B14" s="93" t="inlineStr">
        <is>
          <t>Why it matters: the financing mix determines the interest cost (Step 4) and whether the share count changes. All-cash deals are simpler — only the numerator (net income) changes.</t>
        </is>
      </c>
    </row>
    <row r="15" ht="7.5" customHeight="1" s="83"/>
    <row r="16" ht="18" customHeight="1" s="83">
      <c r="B16" s="89" t="inlineStr">
        <is>
          <t xml:space="preserve">  STEP 2: Standalone Financials</t>
        </is>
      </c>
      <c r="C16" s="84" t="n"/>
      <c r="D16" s="84" t="n"/>
      <c r="E16" s="84" t="n"/>
      <c r="F16" s="84" t="n"/>
    </row>
    <row r="17" ht="13.5" customHeight="1" s="83">
      <c r="B17" s="90" t="inlineStr">
        <is>
          <t>What you do:</t>
        </is>
      </c>
    </row>
    <row r="18" ht="39.75" customHeight="1" s="83">
      <c r="B18" s="88" t="inlineStr">
        <is>
          <t>Collect the acquirer's (MSFT) and target's (ATVI) most recent income statements. Calculate standalone EPS for MSFT — this is your baseline. Calculate ATVI's net income — this is what you're 'buying.'</t>
        </is>
      </c>
    </row>
    <row r="19" ht="13.5" customHeight="1" s="83">
      <c r="B19" s="91" t="inlineStr">
        <is>
          <t>→ See tab: '2 - Standalone P&amp;L'</t>
        </is>
      </c>
    </row>
    <row r="20" ht="13.5" customHeight="1" s="83">
      <c r="B20" s="92" t="inlineStr">
        <is>
          <t>Why it matters:</t>
        </is>
      </c>
    </row>
    <row r="21" ht="39.75" customHeight="1" s="83">
      <c r="B21" s="93" t="inlineStr">
        <is>
          <t>Why it matters: you need to know MSFT's current EPS ($9.81) and ATVI's net income ($1,520M) before you can calculate whether the deal adds or destroys per-share value.</t>
        </is>
      </c>
    </row>
    <row r="22" ht="7.5" customHeight="1" s="83"/>
    <row r="23" ht="18" customHeight="1" s="83">
      <c r="B23" s="89" t="inlineStr">
        <is>
          <t xml:space="preserve">  STEP 3: Purchase Price Allocation (PPA)</t>
        </is>
      </c>
      <c r="C23" s="84" t="n"/>
      <c r="D23" s="84" t="n"/>
      <c r="E23" s="84" t="n"/>
      <c r="F23" s="84" t="n"/>
    </row>
    <row r="24" ht="13.5" customHeight="1" s="83">
      <c r="B24" s="90" t="inlineStr">
        <is>
          <t>What you do:</t>
        </is>
      </c>
    </row>
    <row r="25" ht="39.75" customHeight="1" s="83">
      <c r="B25" s="88" t="inlineStr">
        <is>
          <t>When you pay more than book value for a company, GAAP requires you to allocate the premium to identifiable intangible assets (game titles, customer relationships, brand). These intangibles are then AMORTISED through the income statement — creating a real EPS headwind every year post-close. Goodwill ($45B) is NOT amortised but IS tested annually for impairment.</t>
        </is>
      </c>
    </row>
    <row r="26" ht="13.5" customHeight="1" s="83">
      <c r="B26" s="91" t="inlineStr">
        <is>
          <t>→ See tab: '3 - PPA &amp; Amortisation'</t>
        </is>
      </c>
    </row>
    <row r="27" ht="13.5" customHeight="1" s="83">
      <c r="B27" s="92" t="inlineStr">
        <is>
          <t>Why it matters:</t>
        </is>
      </c>
    </row>
    <row r="28" ht="39.75" customHeight="1" s="83">
      <c r="B28" s="93" t="inlineStr">
        <is>
          <t>Why it matters: this is the most commonly missed step. The $1.55B annual amortisation alone costs ~$0.17 EPS per year — equivalent to wiping out 1.7% of MSFT's standalone EPS.</t>
        </is>
      </c>
    </row>
    <row r="29" ht="7.5" customHeight="1" s="83"/>
    <row r="30" ht="18" customHeight="1" s="83">
      <c r="B30" s="89" t="inlineStr">
        <is>
          <t xml:space="preserve">  STEP 4: Financing Cost</t>
        </is>
      </c>
      <c r="C30" s="84" t="n"/>
      <c r="D30" s="84" t="n"/>
      <c r="E30" s="84" t="n"/>
      <c r="F30" s="84" t="n"/>
    </row>
    <row r="31" ht="13.5" customHeight="1" s="83">
      <c r="B31" s="90" t="inlineStr">
        <is>
          <t>What you do:</t>
        </is>
      </c>
    </row>
    <row r="32" ht="39.75" customHeight="1" s="83">
      <c r="B32" s="88" t="inlineStr">
        <is>
          <t>Calculate the annual interest expense on the new debt raised to fund the acquisition. Also account for the FOREGONE interest income on cash deployed (opportunity cost). Both are tax-deductible, so only the after-tax cost hits EPS. Formula: Interest expense × (1 − tax rate) ÷ diluted shares.</t>
        </is>
      </c>
    </row>
    <row r="33" ht="13.5" customHeight="1" s="83">
      <c r="B33" s="91" t="inlineStr">
        <is>
          <t>→ See tab: '4 - Financing Cost'</t>
        </is>
      </c>
    </row>
    <row r="34" ht="13.5" customHeight="1" s="83">
      <c r="B34" s="92" t="inlineStr">
        <is>
          <t>Why it matters:</t>
        </is>
      </c>
    </row>
    <row r="35" ht="39.75" customHeight="1" s="83">
      <c r="B35" s="93" t="inlineStr">
        <is>
          <t>Why it matters: $50.5B of new debt at ~4.6% costs $2.3B/yr in gross interest. After tax (20%), that's $1.85B — or ~$0.25 EPS drag. This alone would make the deal dilutive without ATVI's earnings contribution and synergies.</t>
        </is>
      </c>
    </row>
    <row r="36" ht="7.5" customHeight="1" s="83"/>
    <row r="37" ht="18" customHeight="1" s="83">
      <c r="B37" s="89" t="inlineStr">
        <is>
          <t xml:space="preserve">  STEP 5: Synergies</t>
        </is>
      </c>
      <c r="C37" s="84" t="n"/>
      <c r="D37" s="84" t="n"/>
      <c r="E37" s="84" t="n"/>
      <c r="F37" s="84" t="n"/>
    </row>
    <row r="38" ht="13.5" customHeight="1" s="83">
      <c r="B38" s="90" t="inlineStr">
        <is>
          <t>What you do:</t>
        </is>
      </c>
    </row>
    <row r="39" ht="39.75" customHeight="1" s="83">
      <c r="B39" s="88" t="inlineStr">
        <is>
          <t>Estimate the annual cost savings and revenue uplift from combining the two companies. Apply a REALISATION SCHEDULE (typically 40% in Year 1, 70% in Year 2, 100% in Year 3) because synergies take time to achieve. Synergies are tax-effected (they increase taxable income). COST synergies are more credible than REVENUE synergies — discount revenue synergies by 50% in a conservative case.</t>
        </is>
      </c>
    </row>
    <row r="40" ht="13.5" customHeight="1" s="83">
      <c r="B40" s="91" t="inlineStr">
        <is>
          <t>→ See tab: '5 - Synergies'</t>
        </is>
      </c>
    </row>
    <row r="41" ht="13.5" customHeight="1" s="83">
      <c r="B41" s="92" t="inlineStr">
        <is>
          <t>Why it matters:</t>
        </is>
      </c>
    </row>
    <row r="42" ht="39.75" customHeight="1" s="83">
      <c r="B42" s="93" t="inlineStr">
        <is>
          <t>Why it matters: synergies are what flip a mechanically dilutive deal accretive. Without synergies, MSFT/ATVI is dilutive by ~3–5% in Year 1 given the financing and amortisation costs. The $2.5B run-rate synergy assumption is what saves it.</t>
        </is>
      </c>
    </row>
    <row r="43" ht="7.5" customHeight="1" s="83"/>
    <row r="44" ht="18" customHeight="1" s="83">
      <c r="B44" s="89" t="inlineStr">
        <is>
          <t xml:space="preserve">  STEP 6: Pro Forma EPS &amp; Verdict</t>
        </is>
      </c>
      <c r="C44" s="84" t="n"/>
      <c r="D44" s="84" t="n"/>
      <c r="E44" s="84" t="n"/>
      <c r="F44" s="84" t="n"/>
    </row>
    <row r="45" ht="13.5" customHeight="1" s="83">
      <c r="B45" s="90" t="inlineStr">
        <is>
          <t>What you do:</t>
        </is>
      </c>
    </row>
    <row r="46" ht="96" customHeight="1" s="83">
      <c r="B46" s="88" t="inlineStr">
        <is>
          <t>Combine everything into a pro forma income statement:
  Pro Forma NI = MSFT NI + ATVI NI − After-tax Interest − After-tax Amortisation + After-tax Synergies
  Pro Forma EPS = Pro Forma NI ÷ MSFT Diluted Shares (unchanged — all-cash deal)
Compare Pro Forma EPS to Standalone EPS → accretive or dilutive.
Run a SENSITIVITY TABLE: EPS accretion vs. synergy level and interest rate assumptions.</t>
        </is>
      </c>
    </row>
    <row r="47" ht="13.5" customHeight="1" s="83">
      <c r="B47" s="91" t="inlineStr">
        <is>
          <t>→ See tab: '6 - Pro Forma EPS'</t>
        </is>
      </c>
    </row>
    <row r="48" ht="13.5" customHeight="1" s="83">
      <c r="B48" s="92" t="inlineStr">
        <is>
          <t>Why it matters:</t>
        </is>
      </c>
    </row>
    <row r="49" ht="39.75" customHeight="1" s="83">
      <c r="B49" s="93" t="inlineStr">
        <is>
          <t>Why it matters: this is the deliverable. The sensitivity table is critical — it shows the RANGE of outcomes and at what point the deal flips between accretive and dilutive. Presenting this in an interview shows you understand that the answer depends on assumptions, not just on a single point estimate.</t>
        </is>
      </c>
    </row>
    <row r="50" ht="7.5" customHeight="1" s="83"/>
    <row r="51" ht="15.75" customHeight="1" s="83">
      <c r="B51" s="94" t="inlineStr">
        <is>
          <t xml:space="preserve">  COLOUR CODING LEGEND — used throughout this workbook</t>
        </is>
      </c>
      <c r="C51" s="95" t="n"/>
      <c r="D51" s="95" t="n"/>
      <c r="E51" s="95" t="n"/>
      <c r="F51" s="95" t="n"/>
    </row>
    <row r="53" ht="15.75" customHeight="1" s="83">
      <c r="B53" s="96" t="inlineStr">
        <is>
          <t xml:space="preserve">  Blue text</t>
        </is>
      </c>
      <c r="C53" s="97" t="inlineStr">
        <is>
          <t>Hardcoded inputs — numbers you can change for different scenarios</t>
        </is>
      </c>
    </row>
    <row r="54" ht="15.75" customHeight="1" s="83">
      <c r="B54" s="98" t="inlineStr">
        <is>
          <t xml:space="preserve">  Black text</t>
        </is>
      </c>
      <c r="C54" s="97" t="inlineStr">
        <is>
          <t>Formula-calculated outputs — automatically update when inputs change</t>
        </is>
      </c>
    </row>
    <row r="55" ht="15.75" customHeight="1" s="83">
      <c r="B55" s="99" t="inlineStr">
        <is>
          <t xml:space="preserve">  Green text</t>
        </is>
      </c>
      <c r="C55" s="97" t="inlineStr">
        <is>
          <t>Cross-sheet links pulling data from another tab in this workbook</t>
        </is>
      </c>
    </row>
    <row r="56" ht="15.75" customHeight="1" s="83">
      <c r="B56" s="89" t="inlineStr">
        <is>
          <t xml:space="preserve">  Navy background</t>
        </is>
      </c>
      <c r="C56" s="97" t="inlineStr">
        <is>
          <t>Section headers and titles</t>
        </is>
      </c>
    </row>
    <row r="57" ht="15.75" customHeight="1" s="83">
      <c r="B57" s="100" t="inlineStr">
        <is>
          <t xml:space="preserve">  Light blue background</t>
        </is>
      </c>
      <c r="C57" s="97" t="inlineStr">
        <is>
          <t>Key input or output highlighted for emphasis</t>
        </is>
      </c>
    </row>
    <row r="58" ht="15.75" customHeight="1" s="83">
      <c r="B58" s="101" t="inlineStr">
        <is>
          <t xml:space="preserve">  Light green background</t>
        </is>
      </c>
      <c r="C58" s="97" t="inlineStr">
        <is>
          <t>Accretive outcome / positive EPS impact</t>
        </is>
      </c>
    </row>
    <row r="59" ht="15.75" customHeight="1" s="83">
      <c r="B59" s="102" t="inlineStr">
        <is>
          <t xml:space="preserve">  Light red background</t>
        </is>
      </c>
      <c r="C59" s="97" t="inlineStr">
        <is>
          <t>Dilutive outcome / negative EPS impact</t>
        </is>
      </c>
    </row>
    <row r="60" ht="15.75" customHeight="1" s="83">
      <c r="B60" s="103" t="inlineStr">
        <is>
          <t xml:space="preserve">  Light amber background</t>
        </is>
      </c>
      <c r="C60" s="97" t="inlineStr">
        <is>
          <t>Warning / sensitivity / assumption zone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185FA5"/>
    <outlinePr summaryBelow="1" summaryRight="1"/>
    <pageSetUpPr fitToPage="0"/>
  </sheetPr>
  <dimension ref="A1:F30"/>
  <sheetViews>
    <sheetView showFormulas="0" showGridLines="0" showRowColHeaders="1" showZeros="1" rightToLeft="0" tabSelected="0" showOutlineSymbols="1" defaultGridColor="1"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baseColWidth="8" defaultColWidth="8.6796875" defaultRowHeight="15" zeroHeight="0" outlineLevelRow="0"/>
  <cols>
    <col width="2" customWidth="1" style="82" min="1" max="1"/>
    <col width="36" customWidth="1" style="82" min="2" max="2"/>
    <col width="16" customWidth="1" style="82" min="3" max="3"/>
    <col width="14" customWidth="1" style="82" min="4" max="4"/>
    <col width="22" customWidth="1" style="82" min="5" max="5"/>
  </cols>
  <sheetData>
    <row r="1" ht="15.75" customHeight="1" s="83">
      <c r="A1" s="84" t="n"/>
      <c r="B1" s="84" t="n"/>
      <c r="C1" s="84" t="n"/>
      <c r="D1" s="84" t="n"/>
      <c r="E1" s="84" t="n"/>
      <c r="F1" s="84" t="n"/>
    </row>
    <row r="2" ht="15.75" customHeight="1" s="83">
      <c r="A2" s="84" t="n"/>
      <c r="B2" s="104" t="inlineStr">
        <is>
          <t>STEP 1: SOURCES &amp; USES OF FUNDS</t>
        </is>
      </c>
      <c r="C2" s="84" t="n"/>
      <c r="D2" s="84" t="n"/>
      <c r="E2" s="84" t="n"/>
      <c r="F2" s="84" t="n"/>
    </row>
    <row r="3" ht="15.75" customHeight="1" s="83">
      <c r="A3" s="84" t="n"/>
      <c r="B3" s="86" t="inlineStr">
        <is>
          <t>How is the $68.7B acquisition financed?  |  All-cash deal  |  No new shares issued</t>
        </is>
      </c>
      <c r="C3" s="84" t="n"/>
      <c r="D3" s="84" t="n"/>
      <c r="E3" s="84" t="n"/>
      <c r="F3" s="84" t="n"/>
    </row>
    <row r="4" ht="15.75" customHeight="1" s="83">
      <c r="A4" s="84" t="n"/>
      <c r="B4" s="84" t="n"/>
      <c r="C4" s="84" t="n"/>
      <c r="D4" s="84" t="n"/>
      <c r="E4" s="84" t="n"/>
      <c r="F4" s="84" t="n"/>
    </row>
    <row r="5" ht="21.75" customHeight="1" s="83">
      <c r="B5" s="105" t="inlineStr">
        <is>
          <t>Line Item</t>
        </is>
      </c>
      <c r="C5" s="106" t="inlineStr">
        <is>
          <t>Amount ($M)</t>
        </is>
      </c>
      <c r="D5" s="106" t="inlineStr">
        <is>
          <t>% of Total</t>
        </is>
      </c>
      <c r="E5" s="106" t="inlineStr">
        <is>
          <t>Notes / Source</t>
        </is>
      </c>
    </row>
    <row r="6" ht="4.5" customHeight="1" s="83"/>
    <row r="7" ht="15.75" customHeight="1" s="83">
      <c r="B7" s="94" t="inlineStr">
        <is>
          <t xml:space="preserve">  USES OF FUNDS</t>
        </is>
      </c>
      <c r="C7" s="95" t="n"/>
      <c r="D7" s="95" t="n"/>
      <c r="E7" s="95" t="n"/>
    </row>
    <row r="8" ht="15" customHeight="1" s="83">
      <c r="B8" s="97" t="inlineStr">
        <is>
          <t xml:space="preserve">  Acquisition price (equity value)</t>
        </is>
      </c>
      <c r="C8" s="107" t="n">
        <v>68700</v>
      </c>
      <c r="E8" s="108" t="inlineStr">
        <is>
          <t>Source: MSFT press release Jan 18 2022. $95.00/share × 723.7M ATVI diluted shares</t>
        </is>
      </c>
    </row>
    <row r="9" ht="15" customHeight="1" s="83">
      <c r="B9" s="97" t="inlineStr">
        <is>
          <t xml:space="preserve">  Transaction fees (advisory, legal, financing)</t>
        </is>
      </c>
      <c r="C9" s="107" t="n">
        <v>800</v>
      </c>
      <c r="E9" s="108" t="inlineStr">
        <is>
          <t>Estimated; typical 1.0–1.5% of deal value for complex cross-border transactions</t>
        </is>
      </c>
    </row>
    <row r="10" ht="15" customHeight="1" s="83">
      <c r="B10" s="97" t="inlineStr">
        <is>
          <t xml:space="preserve">  Refinancing of ATVI net debt assumed</t>
        </is>
      </c>
      <c r="C10" s="107" t="n">
        <v>970</v>
      </c>
      <c r="E10" s="108" t="inlineStr">
        <is>
          <t>ATVI LTM net debt position at close; must be repaid or refinanced on acquisition</t>
        </is>
      </c>
    </row>
    <row r="11" ht="4.5" customHeight="1" s="83"/>
    <row r="12" ht="15.75" customHeight="1" s="83">
      <c r="B12" s="109" t="inlineStr">
        <is>
          <t xml:space="preserve">  TOTAL USES</t>
        </is>
      </c>
      <c r="C12" s="110">
        <f>SUM(C8:C10)</f>
        <v/>
      </c>
      <c r="D12" s="111">
        <f>C12/C12</f>
        <v/>
      </c>
      <c r="E12" s="95" t="n"/>
    </row>
    <row r="13" ht="4.5" customHeight="1" s="83"/>
    <row r="14" ht="15.75" customHeight="1" s="83">
      <c r="B14" s="94" t="inlineStr">
        <is>
          <t xml:space="preserve">  SOURCES OF FUNDS</t>
        </is>
      </c>
      <c r="C14" s="95" t="n"/>
      <c r="D14" s="95" t="n"/>
      <c r="E14" s="95" t="n"/>
    </row>
    <row r="15" ht="15" customHeight="1" s="83">
      <c r="B15" s="97" t="inlineStr">
        <is>
          <t xml:space="preserve">  Cash from MSFT balance sheet</t>
        </is>
      </c>
      <c r="C15" s="107" t="n">
        <v>20000</v>
      </c>
      <c r="E15" s="108" t="inlineStr">
        <is>
          <t>MSFT had ~$111B liquid assets; deployed $20B to minimize new debt quantum</t>
        </is>
      </c>
    </row>
    <row r="16" ht="15" customHeight="1" s="83">
      <c r="B16" s="97" t="inlineStr">
        <is>
          <t xml:space="preserve">  New long-term bonds issued (10–30 year)</t>
        </is>
      </c>
      <c r="C16" s="107" t="n">
        <v>35000</v>
      </c>
      <c r="E16" s="108" t="inlineStr">
        <is>
          <t>MSFT Aaa/AAA rated — issued at historically tight spreads given credit quality</t>
        </is>
      </c>
    </row>
    <row r="17" ht="15" customHeight="1" s="83">
      <c r="B17" s="97" t="inlineStr">
        <is>
          <t xml:space="preserve">  New medium-term notes (3–5 year)</t>
        </is>
      </c>
      <c r="C17" s="107" t="n">
        <v>10000</v>
      </c>
      <c r="E17" s="108" t="inlineStr">
        <is>
          <t>Diversified maturity profile to reduce refinancing risk concentration</t>
        </is>
      </c>
    </row>
    <row r="18" ht="15" customHeight="1" s="83">
      <c r="B18" s="97" t="inlineStr">
        <is>
          <t xml:space="preserve">  Commercial paper / short-term borrowings</t>
        </is>
      </c>
      <c r="C18" s="107" t="n">
        <v>5470</v>
      </c>
      <c r="E18" s="108" t="inlineStr">
        <is>
          <t>Bridged until long-term bonds fully placed in market</t>
        </is>
      </c>
    </row>
    <row r="19" ht="4.5" customHeight="1" s="83"/>
    <row r="20" ht="15.75" customHeight="1" s="83">
      <c r="B20" s="109" t="inlineStr">
        <is>
          <t xml:space="preserve">  TOTAL SOURCES</t>
        </is>
      </c>
      <c r="C20" s="110">
        <f>SUM(C15:C18)</f>
        <v/>
      </c>
      <c r="D20" s="111">
        <f>C20/C20</f>
        <v/>
      </c>
      <c r="E20" s="95" t="n"/>
    </row>
    <row r="21" ht="4.5" customHeight="1" s="83"/>
    <row r="22" ht="15" customHeight="1" s="83">
      <c r="B22" s="112" t="inlineStr">
        <is>
          <t>CHECK: Sources − Uses (should be $0)</t>
        </is>
      </c>
      <c r="C22" s="113">
        <f>C20-C12</f>
        <v/>
      </c>
      <c r="E22" s="108" t="inlineStr">
        <is>
          <t>Must equal zero — if not, check for input errors in Sources or Uses above</t>
        </is>
      </c>
    </row>
    <row r="23" ht="4.5" customHeight="1" s="83"/>
    <row r="24" ht="15.75" customHeight="1" s="83">
      <c r="B24" s="94" t="inlineStr">
        <is>
          <t xml:space="preserve">  FINANCING MIX BREAKDOWN</t>
        </is>
      </c>
      <c r="C24" s="95" t="n"/>
      <c r="D24" s="95" t="n"/>
      <c r="E24" s="95" t="n"/>
    </row>
    <row r="25" ht="15" customHeight="1" s="83">
      <c r="B25" s="97" t="inlineStr">
        <is>
          <t xml:space="preserve">  Cash from balance sheet</t>
        </is>
      </c>
      <c r="C25" s="114">
        <f>C15</f>
        <v/>
      </c>
      <c r="D25" s="115">
        <f>C15/C20</f>
        <v/>
      </c>
    </row>
    <row r="26" ht="15" customHeight="1" s="83">
      <c r="B26" s="97" t="inlineStr">
        <is>
          <t xml:space="preserve">  Long-term bonds</t>
        </is>
      </c>
      <c r="C26" s="114">
        <f>C16</f>
        <v/>
      </c>
      <c r="D26" s="115">
        <f>C16/C20</f>
        <v/>
      </c>
    </row>
    <row r="27" ht="15" customHeight="1" s="83">
      <c r="B27" s="97" t="inlineStr">
        <is>
          <t xml:space="preserve">  Medium-term notes</t>
        </is>
      </c>
      <c r="C27" s="114">
        <f>C17</f>
        <v/>
      </c>
      <c r="D27" s="115">
        <f>C17/C20</f>
        <v/>
      </c>
    </row>
    <row r="28" ht="15" customHeight="1" s="83">
      <c r="B28" s="97" t="inlineStr">
        <is>
          <t xml:space="preserve">  Commercial paper</t>
        </is>
      </c>
      <c r="C28" s="114">
        <f>C18</f>
        <v/>
      </c>
      <c r="D28" s="115">
        <f>C18/C20</f>
        <v/>
      </c>
    </row>
    <row r="29" ht="4.5" customHeight="1" s="83"/>
    <row r="30" ht="27.75" customHeight="1" s="83">
      <c r="B30" s="112" t="inlineStr">
        <is>
          <t>Key implication: NO new MSFT shares issued</t>
        </is>
      </c>
      <c r="C30" s="88" t="inlineStr">
        <is>
          <t>All-cash → share count unchanged → EPS denominator fixed at 7,434M diluted shares throughout model</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185FA5"/>
    <outlinePr summaryBelow="1" summaryRight="1"/>
    <pageSetUpPr fitToPage="0"/>
  </sheetPr>
  <dimension ref="A1:F1023"/>
  <sheetViews>
    <sheetView showFormulas="0" showGridLines="0" showRowColHeaders="1" showZeros="1" rightToLeft="0" tabSelected="0" showOutlineSymbols="1" defaultGridColor="1"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baseColWidth="8" defaultColWidth="8.6796875" defaultRowHeight="15" zeroHeight="0" outlineLevelRow="0"/>
  <cols>
    <col width="2" customWidth="1" style="82" min="1" max="1"/>
    <col width="38" customWidth="1" style="82" min="2" max="2"/>
    <col width="16" customWidth="1" style="82" min="3" max="4"/>
    <col width="22" customWidth="1" style="82" min="5" max="5"/>
  </cols>
  <sheetData>
    <row r="1" ht="15.75" customHeight="1" s="83">
      <c r="A1" s="84" t="n"/>
      <c r="B1" s="84" t="n"/>
      <c r="C1" s="84" t="n"/>
      <c r="D1" s="84" t="n"/>
      <c r="E1" s="84" t="n"/>
      <c r="F1" s="84" t="n"/>
    </row>
    <row r="2" ht="15.75" customHeight="1" s="83">
      <c r="A2" s="84" t="n"/>
      <c r="B2" s="104" t="inlineStr">
        <is>
          <t>STEP 2: STANDALONE INCOME STATEMENTS</t>
        </is>
      </c>
      <c r="C2" s="84" t="n"/>
      <c r="D2" s="84" t="n"/>
      <c r="E2" s="84" t="n"/>
      <c r="F2" s="84" t="n"/>
    </row>
    <row r="3" ht="15.75" customHeight="1" s="83">
      <c r="A3" s="84" t="n"/>
      <c r="B3" s="86" t="inlineStr">
        <is>
          <t>Pre-deal income statements  |  FY2023E at time of close  |  $M</t>
        </is>
      </c>
      <c r="C3" s="84" t="n"/>
      <c r="D3" s="84" t="n"/>
      <c r="E3" s="84" t="n"/>
      <c r="F3" s="84" t="n"/>
    </row>
    <row r="4" ht="15.75" customHeight="1" s="83">
      <c r="A4" s="84" t="n"/>
      <c r="B4" s="84" t="n"/>
      <c r="C4" s="84" t="n"/>
      <c r="D4" s="84" t="n"/>
      <c r="E4" s="84" t="n"/>
      <c r="F4" s="84" t="n"/>
    </row>
    <row r="5" ht="21.75" customHeight="1" s="83">
      <c r="B5" s="105" t="inlineStr">
        <is>
          <t>Line Item</t>
        </is>
      </c>
      <c r="C5" s="106" t="inlineStr">
        <is>
          <t>Microsoft (MSFT)</t>
        </is>
      </c>
      <c r="D5" s="106" t="inlineStr">
        <is>
          <t>Activision (ATVI)</t>
        </is>
      </c>
      <c r="E5" s="106" t="inlineStr">
        <is>
          <t>Notes</t>
        </is>
      </c>
    </row>
    <row r="6" ht="4.5" customHeight="1" s="83"/>
    <row r="7" ht="15" customHeight="1" s="83">
      <c r="B7" s="97" t="inlineStr">
        <is>
          <t xml:space="preserve">  Revenue</t>
        </is>
      </c>
      <c r="C7" s="107" t="n">
        <v>211915</v>
      </c>
      <c r="D7" s="107" t="n">
        <v>8803</v>
      </c>
      <c r="E7" s="108" t="inlineStr">
        <is>
          <t>MSFT: FY2023 10-K. ATVI: LTM at close per last filed 10-Q</t>
        </is>
      </c>
    </row>
    <row r="8" ht="15" customHeight="1" s="83">
      <c r="B8" s="97" t="inlineStr">
        <is>
          <t xml:space="preserve">  Cost of Revenue</t>
        </is>
      </c>
      <c r="C8" s="107" t="n">
        <v>-65863</v>
      </c>
      <c r="D8" s="107" t="n">
        <v>-2892</v>
      </c>
      <c r="E8" s="108" t="inlineStr">
        <is>
          <t>Direct costs of products/services sold</t>
        </is>
      </c>
    </row>
    <row r="9" ht="15" customHeight="1" s="83">
      <c r="B9" s="112" t="inlineStr">
        <is>
          <t xml:space="preserve">  Gross Profit</t>
        </is>
      </c>
      <c r="C9" s="116">
        <f>C7+C8</f>
        <v/>
      </c>
      <c r="D9" s="116">
        <f>D7+D8</f>
        <v/>
      </c>
    </row>
    <row r="10" ht="15" customHeight="1" s="83">
      <c r="B10" s="97" t="inlineStr">
        <is>
          <t xml:space="preserve">  Research &amp; Development</t>
        </is>
      </c>
      <c r="C10" s="107" t="n">
        <v>-29510</v>
      </c>
      <c r="D10" s="107" t="n">
        <v>-1040</v>
      </c>
      <c r="E10" s="108" t="inlineStr">
        <is>
          <t>MSFT R&amp;D; ATVI game development costs</t>
        </is>
      </c>
    </row>
    <row r="11" ht="15" customHeight="1" s="83">
      <c r="B11" s="97" t="inlineStr">
        <is>
          <t xml:space="preserve">  Sales, General &amp; Administrative</t>
        </is>
      </c>
      <c r="C11" s="107" t="n">
        <v>-24456</v>
      </c>
      <c r="D11" s="107" t="n">
        <v>-1101</v>
      </c>
      <c r="E11" s="108" t="inlineStr">
        <is>
          <t>Corporate overhead, marketing, admin</t>
        </is>
      </c>
    </row>
    <row r="12" ht="15" customHeight="1" s="83">
      <c r="B12" s="112" t="inlineStr">
        <is>
          <t xml:space="preserve">  Operating Income (EBIT)</t>
        </is>
      </c>
      <c r="C12" s="116">
        <f>C9+C10+C11</f>
        <v/>
      </c>
      <c r="D12" s="116">
        <f>D9+D10+D11</f>
        <v/>
      </c>
    </row>
    <row r="13" ht="15" customHeight="1" s="83">
      <c r="B13" s="97" t="inlineStr">
        <is>
          <t xml:space="preserve">  Interest Income / (Expense), net</t>
        </is>
      </c>
      <c r="C13" s="107" t="n">
        <v>1413</v>
      </c>
      <c r="D13" s="107" t="n">
        <v>218</v>
      </c>
      <c r="E13" s="108" t="inlineStr">
        <is>
          <t>MSFT net interest on $111B liquid assets</t>
        </is>
      </c>
    </row>
    <row r="14" ht="15" customHeight="1" s="83">
      <c r="B14" s="97" t="inlineStr">
        <is>
          <t xml:space="preserve">  Other Income / (Expense)</t>
        </is>
      </c>
      <c r="C14" s="107" t="n">
        <v>-78</v>
      </c>
      <c r="D14" s="107" t="n">
        <v>-35</v>
      </c>
      <c r="E14" s="108" t="inlineStr">
        <is>
          <t>FX, equity method investments</t>
        </is>
      </c>
    </row>
    <row r="15" ht="15" customHeight="1" s="83">
      <c r="B15" s="112" t="inlineStr">
        <is>
          <t xml:space="preserve">  Pre-Tax Income (EBT)</t>
        </is>
      </c>
      <c r="C15" s="116">
        <f>C12+C13+C14</f>
        <v/>
      </c>
      <c r="D15" s="116">
        <f>D12+D13+D14</f>
        <v/>
      </c>
    </row>
    <row r="16" ht="15" customHeight="1" s="83">
      <c r="B16" s="97" t="inlineStr">
        <is>
          <t xml:space="preserve">  Income Tax Expense</t>
        </is>
      </c>
      <c r="C16" s="107" t="n">
        <v>-16950</v>
      </c>
      <c r="D16" s="107" t="n">
        <v>-381</v>
      </c>
      <c r="E16" s="108" t="inlineStr">
        <is>
          <t>MSFT effective rate 18.8%; ATVI ~20.0%</t>
        </is>
      </c>
    </row>
    <row r="17" ht="15" customHeight="1" s="83">
      <c r="B17" s="117" t="inlineStr">
        <is>
          <t xml:space="preserve">  Net Income</t>
        </is>
      </c>
      <c r="C17" s="118">
        <f>C15+C16</f>
        <v/>
      </c>
      <c r="D17" s="118">
        <f>D15+D16</f>
        <v/>
      </c>
      <c r="E17" s="119" t="n"/>
    </row>
    <row r="18" ht="4.5" customHeight="1" s="83"/>
    <row r="19" ht="15" customHeight="1" s="83">
      <c r="B19" s="97" t="inlineStr">
        <is>
          <t xml:space="preserve">  Diluted Shares Outstanding (M)</t>
        </is>
      </c>
      <c r="C19" s="107" t="n">
        <v>7434</v>
      </c>
      <c r="D19" s="107" t="n">
        <v>724</v>
      </c>
      <c r="E19" s="108" t="inlineStr">
        <is>
          <t>MSFT: 10-K. ATVI: pre-deal shares before cash settlement</t>
        </is>
      </c>
    </row>
    <row r="20" ht="15" customHeight="1" s="83">
      <c r="B20" s="117" t="inlineStr">
        <is>
          <t xml:space="preserve">  Diluted EPS ($)</t>
        </is>
      </c>
      <c r="C20" s="120">
        <f>C17/C19</f>
        <v/>
      </c>
      <c r="D20" s="120">
        <f>D17/D19</f>
        <v/>
      </c>
      <c r="E20" s="119" t="n"/>
    </row>
    <row r="21" ht="15" customHeight="1" s="83">
      <c r="B21" s="112" t="inlineStr">
        <is>
          <t xml:space="preserve">  Effective Tax Rate</t>
        </is>
      </c>
      <c r="C21" s="111">
        <f>ABS(C16)/C15</f>
        <v/>
      </c>
      <c r="D21" s="111">
        <f>ABS(D16)/D15</f>
        <v/>
      </c>
    </row>
    <row r="22" ht="4.5" customHeight="1" s="83"/>
    <row r="23" ht="15" customHeight="1" s="83">
      <c r="B23" s="112" t="inlineStr">
        <is>
          <t xml:space="preserve">  P/E Multiple (at deal price / current price)</t>
        </is>
      </c>
      <c r="C23" s="121" t="n">
        <v>409</v>
      </c>
      <c r="D23" s="121" t="n">
        <v>95</v>
      </c>
    </row>
    <row r="24" ht="15" customHeight="1" s="83">
      <c r="B24" s="112" t="inlineStr">
        <is>
          <t xml:space="preserve">  EBITDA</t>
        </is>
      </c>
      <c r="C24" s="107" t="n">
        <v>105672</v>
      </c>
      <c r="D24" s="107" t="n">
        <v>1820</v>
      </c>
      <c r="E24" s="108" t="inlineStr">
        <is>
          <t>EBITDA = EBIT + D&amp;A; used for EV/EBITDA valuation multiple</t>
        </is>
      </c>
    </row>
    <row r="25" ht="15" customHeight="1" s="83">
      <c r="B25" s="112" t="inlineStr">
        <is>
          <t xml:space="preserve">  EV/EBITDA (at deal price / market cap)</t>
        </is>
      </c>
      <c r="C25" s="107" t="n">
        <v>2452000</v>
      </c>
      <c r="D25" s="107" t="n">
        <v>68700</v>
      </c>
      <c r="E25" s="108" t="inlineStr">
        <is>
          <t>MSFT: market cap at deal announcement. ATVI: deal enterprise value paid</t>
        </is>
      </c>
    </row>
    <row r="26" ht="15" customHeight="1" s="83">
      <c r="B26" s="112" t="inlineStr">
        <is>
          <t xml:space="preserve">  EV/EBITDA multiple</t>
        </is>
      </c>
      <c r="C26" s="122">
        <f>C25/C24</f>
        <v/>
      </c>
      <c r="D26" s="122">
        <f>D25/D24</f>
        <v/>
      </c>
      <c r="E26" s="108" t="inlineStr">
        <is>
          <t>MSFT trades at ~23x EBITDA; ATVI acquired at ~37.7x — significant premium paid</t>
        </is>
      </c>
    </row>
    <row r="27" ht="4.5" customHeight="1" s="83"/>
    <row r="28" ht="27.75" customHeight="1" s="83">
      <c r="B28" s="123" t="inlineStr">
        <is>
          <t>KEY: MSFT standalone EPS (from row 20) is the BASELINE — every pro forma calculation compares against this number.</t>
        </is>
      </c>
    </row>
    <row r="1023" ht="15" customHeight="1" s="83">
      <c r="C1023" s="124"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FAEEDA"/>
    <outlinePr summaryBelow="1" summaryRight="1"/>
    <pageSetUpPr fitToPage="0"/>
  </sheetPr>
  <dimension ref="A1:I32"/>
  <sheetViews>
    <sheetView showFormulas="0" showGridLines="0" showRowColHeaders="1" showZeros="1" rightToLeft="0" tabSelected="0" showOutlineSymbols="1" defaultGridColor="1"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baseColWidth="8" defaultColWidth="8.6796875" defaultRowHeight="15" zeroHeight="0" outlineLevelRow="0"/>
  <cols>
    <col width="2" customWidth="1" style="82" min="1" max="1"/>
    <col width="36" customWidth="1" style="82" min="2" max="2"/>
    <col width="14" customWidth="1" style="82" min="3" max="7"/>
    <col width="22" customWidth="1" style="82" min="8" max="8"/>
  </cols>
  <sheetData>
    <row r="1" ht="15.75" customHeight="1" s="83">
      <c r="A1" s="84" t="n"/>
      <c r="B1" s="84" t="n"/>
      <c r="C1" s="84" t="n"/>
      <c r="D1" s="84" t="n"/>
      <c r="E1" s="84" t="n"/>
      <c r="F1" s="84" t="n"/>
      <c r="G1" s="84" t="n"/>
      <c r="H1" s="84" t="n"/>
      <c r="I1" s="84" t="n"/>
    </row>
    <row r="2" ht="15.75" customHeight="1" s="83">
      <c r="A2" s="84" t="n"/>
      <c r="B2" s="104" t="inlineStr">
        <is>
          <t>STEP 3: PURCHASE PRICE ALLOCATION (PPA) &amp; AMORTISATION</t>
        </is>
      </c>
      <c r="C2" s="84" t="n"/>
      <c r="D2" s="84" t="n"/>
      <c r="E2" s="84" t="n"/>
      <c r="F2" s="84" t="n"/>
      <c r="G2" s="84" t="n"/>
      <c r="H2" s="84" t="n"/>
      <c r="I2" s="84" t="n"/>
    </row>
    <row r="3" ht="15.75" customHeight="1" s="83">
      <c r="A3" s="84" t="n"/>
      <c r="B3" s="86" t="inlineStr">
        <is>
          <t>Intangible asset step-up and annual amortisation schedule  |  $M</t>
        </is>
      </c>
      <c r="C3" s="84" t="n"/>
      <c r="D3" s="84" t="n"/>
      <c r="E3" s="84" t="n"/>
      <c r="F3" s="84" t="n"/>
      <c r="G3" s="84" t="n"/>
      <c r="H3" s="84" t="n"/>
      <c r="I3" s="84" t="n"/>
    </row>
    <row r="4" ht="15.75" customHeight="1" s="83">
      <c r="A4" s="84" t="n"/>
      <c r="B4" s="84" t="n"/>
      <c r="C4" s="84" t="n"/>
      <c r="D4" s="84" t="n"/>
      <c r="E4" s="84" t="n"/>
      <c r="F4" s="84" t="n"/>
      <c r="G4" s="84" t="n"/>
      <c r="H4" s="84" t="n"/>
      <c r="I4" s="84" t="n"/>
    </row>
    <row r="5" ht="21.75" customHeight="1" s="83">
      <c r="B5" s="105" t="inlineStr">
        <is>
          <t>Intangible Asset</t>
        </is>
      </c>
      <c r="C5" s="106" t="inlineStr">
        <is>
          <t>Fair Value ($M)</t>
        </is>
      </c>
      <c r="D5" s="106" t="inlineStr">
        <is>
          <t>Useful Life (yrs)</t>
        </is>
      </c>
      <c r="E5" s="106" t="inlineStr">
        <is>
          <t>Annual Amort.</t>
        </is>
      </c>
      <c r="F5" s="106" t="inlineStr">
        <is>
          <t>Tax Deductible?</t>
        </is>
      </c>
      <c r="G5" s="106" t="inlineStr">
        <is>
          <t>After-Tax Amort.</t>
        </is>
      </c>
      <c r="H5" s="106" t="inlineStr">
        <is>
          <t>Notes</t>
        </is>
      </c>
    </row>
    <row r="6" ht="4.5" customHeight="1" s="83"/>
    <row r="7" ht="15.75" customHeight="1" s="83">
      <c r="B7" s="94" t="inlineStr">
        <is>
          <t xml:space="preserve">  IDENTIFIABLE INTANGIBLE ASSETS ACQUIRED</t>
        </is>
      </c>
      <c r="C7" s="95" t="n"/>
      <c r="D7" s="95" t="n"/>
      <c r="E7" s="95" t="n"/>
      <c r="F7" s="95" t="n"/>
      <c r="G7" s="95" t="n"/>
      <c r="H7" s="95" t="n"/>
    </row>
    <row r="8" ht="15.75" customHeight="1" s="83">
      <c r="B8" s="97" t="inlineStr">
        <is>
          <t xml:space="preserve">  Developed game titles (CoD, WoW, Overwatch, etc.)</t>
        </is>
      </c>
      <c r="C8" s="107" t="n">
        <v>8500</v>
      </c>
      <c r="D8" s="107" t="n">
        <v>6</v>
      </c>
      <c r="E8" s="114">
        <f>IF(D8&gt;0,C8/D8,0)</f>
        <v/>
      </c>
      <c r="F8" s="125" t="inlineStr">
        <is>
          <t>Yes</t>
        </is>
      </c>
      <c r="G8" s="114">
        <f>IF(F8="Yes",E8*(1-'4 - Financing Cost'!$C$12),E8)</f>
        <v/>
      </c>
      <c r="H8" s="108" t="inlineStr">
        <is>
          <t>Core IP; amortised over estimated economic life of franchise</t>
        </is>
      </c>
    </row>
    <row r="9" ht="15.75" customHeight="1" s="83">
      <c r="B9" s="97" t="inlineStr">
        <is>
          <t xml:space="preserve">  Customer relationships / active player base</t>
        </is>
      </c>
      <c r="C9" s="107" t="n">
        <v>3200</v>
      </c>
      <c r="D9" s="107" t="n">
        <v>10</v>
      </c>
      <c r="E9" s="114">
        <f>IF(D9&gt;0,C9/D9,0)</f>
        <v/>
      </c>
      <c r="F9" s="125" t="inlineStr">
        <is>
          <t>Yes</t>
        </is>
      </c>
      <c r="G9" s="114">
        <f>IF(F9="Yes",E9*(1-'4 - Financing Cost'!$C$12),E9)</f>
        <v/>
      </c>
      <c r="H9" s="108" t="inlineStr">
        <is>
          <t>300M+ monthly active users; relationship value amortised over retention curve</t>
        </is>
      </c>
    </row>
    <row r="10" ht="15.75" customHeight="1" s="83">
      <c r="B10" s="97" t="inlineStr">
        <is>
          <t xml:space="preserve">  In-process R&amp;D (game pipeline)</t>
        </is>
      </c>
      <c r="C10" s="107" t="n">
        <v>1400</v>
      </c>
      <c r="D10" s="107" t="n">
        <v>0</v>
      </c>
      <c r="E10" s="114" t="n">
        <v>0</v>
      </c>
      <c r="F10" s="125" t="inlineStr">
        <is>
          <t>No</t>
        </is>
      </c>
      <c r="G10" s="114" t="n">
        <v>0</v>
      </c>
      <c r="H10" s="108" t="inlineStr">
        <is>
          <t>Expensed immediately at acquisition close per ASC 805; no ongoing amortisation</t>
        </is>
      </c>
    </row>
    <row r="11" ht="15.75" customHeight="1" s="83">
      <c r="B11" s="97" t="inlineStr">
        <is>
          <t xml:space="preserve">  Technology platform / engine</t>
        </is>
      </c>
      <c r="C11" s="107" t="n">
        <v>1100</v>
      </c>
      <c r="D11" s="107" t="n">
        <v>5</v>
      </c>
      <c r="E11" s="114">
        <f>IF(D11&gt;0,C11/D11,0)</f>
        <v/>
      </c>
      <c r="F11" s="125" t="inlineStr">
        <is>
          <t>Yes</t>
        </is>
      </c>
      <c r="G11" s="114">
        <f>IF(F11="Yes",E11*(1-'4 - Financing Cost'!$C$12),E11)</f>
        <v/>
      </c>
      <c r="H11" s="108" t="inlineStr">
        <is>
          <t>Proprietary game development tools and engine technology</t>
        </is>
      </c>
    </row>
    <row r="12" ht="15.75" customHeight="1" s="83">
      <c r="B12" s="97" t="inlineStr">
        <is>
          <t xml:space="preserve">  Trade names and brand (Blizzard, King, Activision)</t>
        </is>
      </c>
      <c r="C12" s="107" t="n">
        <v>1800</v>
      </c>
      <c r="D12" s="107" t="n">
        <v>0</v>
      </c>
      <c r="E12" s="114" t="n">
        <v>0</v>
      </c>
      <c r="F12" s="125" t="inlineStr">
        <is>
          <t>No</t>
        </is>
      </c>
      <c r="G12" s="114" t="n">
        <v>0</v>
      </c>
      <c r="H12" s="108" t="inlineStr">
        <is>
          <t>Indefinite-life intangible — NOT amortised, tested annually for impairment</t>
        </is>
      </c>
    </row>
    <row r="13" ht="4.5" customHeight="1" s="83"/>
    <row r="14" ht="15.75" customHeight="1" s="83">
      <c r="B14" s="97" t="inlineStr">
        <is>
          <t xml:space="preserve">  Goodwill (residual premium)</t>
        </is>
      </c>
      <c r="C14" s="126">
        <f>'1 - Sources &amp; Uses'!C8-SUM(C8:C12)-8470</f>
        <v/>
      </c>
      <c r="D14" s="127" t="inlineStr">
        <is>
          <t>N/A</t>
        </is>
      </c>
      <c r="E14" s="128" t="inlineStr">
        <is>
          <t>-</t>
        </is>
      </c>
      <c r="F14" s="128" t="inlineStr">
        <is>
          <t>No</t>
        </is>
      </c>
      <c r="G14" s="128" t="inlineStr">
        <is>
          <t>-</t>
        </is>
      </c>
      <c r="H14" s="108" t="inlineStr">
        <is>
          <t>Residual = Total deal cost ($70,470M) − Identified intangibles ($16,000M) − ATVI net tangible book value ($8,470M at close). NOT amortised; impairment tested annually (ASC 350)</t>
        </is>
      </c>
    </row>
    <row r="15" ht="4.5" customHeight="1" s="83"/>
    <row r="16" ht="15.75" customHeight="1" s="83">
      <c r="B16" s="109" t="inlineStr">
        <is>
          <t xml:space="preserve">  Total Identified Intangibles + Goodwill</t>
        </is>
      </c>
      <c r="C16" s="110">
        <f>C14+SUM(C8:C12)</f>
        <v/>
      </c>
      <c r="D16" s="95" t="n"/>
      <c r="E16" s="95" t="n"/>
      <c r="F16" s="95" t="n"/>
      <c r="G16" s="95" t="n"/>
      <c r="H16" s="95" t="n"/>
    </row>
    <row r="17" ht="4.5" customHeight="1" s="83"/>
    <row r="18" ht="15.75" customHeight="1" s="83">
      <c r="B18" s="94" t="inlineStr">
        <is>
          <t xml:space="preserve">  ANNUAL AMORTISATION SCHEDULE (Years 1–10)</t>
        </is>
      </c>
      <c r="C18" s="95" t="n"/>
      <c r="D18" s="95" t="n"/>
      <c r="E18" s="95" t="n"/>
      <c r="F18" s="95" t="n"/>
      <c r="G18" s="95" t="n"/>
      <c r="H18" s="95" t="n"/>
    </row>
    <row r="19" ht="21.75" customHeight="1" s="83">
      <c r="B19" s="105" t="inlineStr">
        <is>
          <t>Asset</t>
        </is>
      </c>
      <c r="C19" s="106" t="inlineStr">
        <is>
          <t>Yr 1</t>
        </is>
      </c>
      <c r="D19" s="106" t="inlineStr">
        <is>
          <t>Yr 2</t>
        </is>
      </c>
      <c r="E19" s="106" t="inlineStr">
        <is>
          <t>Yr 3</t>
        </is>
      </c>
      <c r="F19" s="106" t="inlineStr">
        <is>
          <t>Yr 4</t>
        </is>
      </c>
      <c r="G19" s="106" t="inlineStr">
        <is>
          <t>Yr 5</t>
        </is>
      </c>
      <c r="H19" s="106" t="inlineStr">
        <is>
          <t>Yr 6–10</t>
        </is>
      </c>
    </row>
    <row r="20" ht="15" customHeight="1" s="83">
      <c r="B20" s="97" t="inlineStr">
        <is>
          <t xml:space="preserve">  Developed game titles (CoD, WoW, Overwatch, e</t>
        </is>
      </c>
      <c r="C20" s="114">
        <f>C8/D8</f>
        <v/>
      </c>
      <c r="D20" s="114">
        <f>C8/D8</f>
        <v/>
      </c>
      <c r="E20" s="114">
        <f>C8/D8</f>
        <v/>
      </c>
      <c r="F20" s="114">
        <f>C8/D8</f>
        <v/>
      </c>
      <c r="G20" s="114">
        <f>C8/D8</f>
        <v/>
      </c>
      <c r="H20" s="114">
        <f>C8/D8</f>
        <v/>
      </c>
    </row>
    <row r="21" ht="15" customHeight="1" s="83">
      <c r="B21" s="97" t="inlineStr">
        <is>
          <t xml:space="preserve">  Customer relationships / active player base</t>
        </is>
      </c>
      <c r="C21" s="114">
        <f>C9/D9</f>
        <v/>
      </c>
      <c r="D21" s="114">
        <f>C9/D9</f>
        <v/>
      </c>
      <c r="E21" s="114">
        <f>C9/D9</f>
        <v/>
      </c>
      <c r="F21" s="114">
        <f>C9/D9</f>
        <v/>
      </c>
      <c r="G21" s="114">
        <f>C9/D9</f>
        <v/>
      </c>
      <c r="H21" s="114">
        <f>C9/D9</f>
        <v/>
      </c>
    </row>
    <row r="22" ht="15" customHeight="1" s="83">
      <c r="B22" s="97" t="inlineStr">
        <is>
          <t xml:space="preserve">  In-process R&amp;D (game pipeline)</t>
        </is>
      </c>
      <c r="C22" s="114" t="n">
        <v>0</v>
      </c>
      <c r="D22" s="114" t="n">
        <v>0</v>
      </c>
      <c r="E22" s="114" t="n">
        <v>0</v>
      </c>
      <c r="F22" s="114" t="n">
        <v>0</v>
      </c>
      <c r="G22" s="114" t="n">
        <v>0</v>
      </c>
      <c r="H22" s="114" t="n">
        <v>0</v>
      </c>
    </row>
    <row r="23" ht="15" customHeight="1" s="83">
      <c r="B23" s="97" t="inlineStr">
        <is>
          <t xml:space="preserve">  Technology platform / engine</t>
        </is>
      </c>
      <c r="C23" s="114">
        <f>C11/D11</f>
        <v/>
      </c>
      <c r="D23" s="114">
        <f>C11/D11</f>
        <v/>
      </c>
      <c r="E23" s="114">
        <f>C11/D11</f>
        <v/>
      </c>
      <c r="F23" s="114">
        <f>C11/D11</f>
        <v/>
      </c>
      <c r="G23" s="114">
        <f>C11/D11</f>
        <v/>
      </c>
      <c r="H23" s="114" t="n">
        <v>0</v>
      </c>
    </row>
    <row r="24" ht="15" customHeight="1" s="83">
      <c r="B24" s="97" t="inlineStr">
        <is>
          <t xml:space="preserve">  Trade names and brand (Blizzard, King, Activi</t>
        </is>
      </c>
      <c r="C24" s="114" t="n">
        <v>0</v>
      </c>
      <c r="D24" s="114" t="n">
        <v>0</v>
      </c>
      <c r="E24" s="114" t="n">
        <v>0</v>
      </c>
      <c r="F24" s="114" t="n">
        <v>0</v>
      </c>
      <c r="G24" s="114" t="n">
        <v>0</v>
      </c>
      <c r="H24" s="114" t="n">
        <v>0</v>
      </c>
    </row>
    <row r="26" ht="15.75" customHeight="1" s="83">
      <c r="B26" s="103" t="inlineStr">
        <is>
          <t xml:space="preserve">  Total Annual Amortisation (GAAP charge)</t>
        </is>
      </c>
      <c r="C26" s="129">
        <f>SUM(C20:C24)</f>
        <v/>
      </c>
      <c r="D26" s="129">
        <f>SUM(D20:D24)</f>
        <v/>
      </c>
      <c r="E26" s="129">
        <f>SUM(E20:E24)</f>
        <v/>
      </c>
      <c r="F26" s="129">
        <f>SUM(F20:F24)</f>
        <v/>
      </c>
      <c r="G26" s="129">
        <f>SUM(G20:G24)</f>
        <v/>
      </c>
      <c r="H26" s="129">
        <f>SUM(H20:H24)</f>
        <v/>
      </c>
    </row>
    <row r="27" ht="4.5" customHeight="1" s="83"/>
    <row r="28" ht="15.75" customHeight="1" s="83">
      <c r="B28" s="94" t="inlineStr">
        <is>
          <t xml:space="preserve">  EPS IMPACT OF AMORTISATION (key model output)</t>
        </is>
      </c>
      <c r="C28" s="95" t="n"/>
      <c r="D28" s="95" t="n"/>
      <c r="E28" s="95" t="n"/>
      <c r="F28" s="95" t="n"/>
      <c r="G28" s="95" t="n"/>
      <c r="H28" s="95" t="n"/>
    </row>
    <row r="29" ht="15" customHeight="1" s="83">
      <c r="B29" s="112" t="inlineStr">
        <is>
          <t xml:space="preserve">  Annual GAAP amortisation charge ($M)</t>
        </is>
      </c>
      <c r="C29" s="129">
        <f>C26</f>
        <v/>
      </c>
      <c r="H29" s="108" t="inlineStr">
        <is>
          <t>Links to Pro Forma EPS model</t>
        </is>
      </c>
    </row>
    <row r="30" ht="15" customHeight="1" s="83">
      <c r="B30" s="97" t="inlineStr">
        <is>
          <t xml:space="preserve">  Tax rate (from Financing tab)</t>
        </is>
      </c>
      <c r="C30" s="130">
        <f>'4 - Financing Cost'!$C$12</f>
        <v/>
      </c>
    </row>
    <row r="31" ht="15" customHeight="1" s="83">
      <c r="B31" s="112" t="inlineStr">
        <is>
          <t xml:space="preserve">  After-tax amortisation ($M)</t>
        </is>
      </c>
      <c r="C31" s="131">
        <f>C29*(1-C30)</f>
        <v/>
      </c>
    </row>
    <row r="32" ht="15" customHeight="1" s="83">
      <c r="B32" s="112" t="inlineStr">
        <is>
          <t xml:space="preserve">  EPS drag from amortisation ($/share)</t>
        </is>
      </c>
      <c r="C32" s="132">
        <f>-C31/'2 - Standalone P&amp;L'!C19</f>
        <v/>
      </c>
      <c r="H32" s="133" t="inlineStr">
        <is>
          <t>After-tax amort divided by MSFT diluted shares. Negative = EPS drag. Approx -0.17 per year at base case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993C1D"/>
    <outlinePr summaryBelow="1" summaryRight="1"/>
    <pageSetUpPr fitToPage="0"/>
  </sheetPr>
  <dimension ref="A1:F30"/>
  <sheetViews>
    <sheetView showFormulas="0" showGridLines="0" showRowColHeaders="1" showZeros="1" rightToLeft="0" tabSelected="0" showOutlineSymbols="1" defaultGridColor="1"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baseColWidth="8" defaultColWidth="8.6796875" defaultRowHeight="15" zeroHeight="0" outlineLevelRow="0"/>
  <cols>
    <col width="2" customWidth="1" style="82" min="1" max="1"/>
    <col width="38" customWidth="1" style="82" min="2" max="2"/>
    <col width="16" customWidth="1" style="82" min="3" max="3"/>
    <col width="14" customWidth="1" style="82" min="4" max="4"/>
    <col width="22" customWidth="1" style="82" min="5" max="5"/>
  </cols>
  <sheetData>
    <row r="1" ht="15.75" customHeight="1" s="83">
      <c r="A1" s="84" t="n"/>
      <c r="B1" s="84" t="n"/>
      <c r="C1" s="84" t="n"/>
      <c r="D1" s="84" t="n"/>
      <c r="E1" s="84" t="n"/>
      <c r="F1" s="84" t="n"/>
    </row>
    <row r="2" ht="15.75" customHeight="1" s="83">
      <c r="A2" s="84" t="n"/>
      <c r="B2" s="104" t="inlineStr">
        <is>
          <t>STEP 4: FINANCING COST — INTEREST EXPENSE ON NEW DEBT</t>
        </is>
      </c>
      <c r="C2" s="84" t="n"/>
      <c r="D2" s="84" t="n"/>
      <c r="E2" s="84" t="n"/>
      <c r="F2" s="84" t="n"/>
    </row>
    <row r="3" ht="15.75" customHeight="1" s="83">
      <c r="A3" s="84" t="n"/>
      <c r="B3" s="86" t="inlineStr">
        <is>
          <t>Annual interest cost of the $50.5B new debt raised to fund the acquisition  |  $M</t>
        </is>
      </c>
      <c r="C3" s="84" t="n"/>
      <c r="D3" s="84" t="n"/>
      <c r="E3" s="84" t="n"/>
      <c r="F3" s="84" t="n"/>
    </row>
    <row r="4" ht="15.75" customHeight="1" s="83">
      <c r="A4" s="84" t="n"/>
      <c r="B4" s="84" t="n"/>
      <c r="C4" s="84" t="n"/>
      <c r="D4" s="84" t="n"/>
      <c r="E4" s="84" t="n"/>
      <c r="F4" s="84" t="n"/>
    </row>
    <row r="5" ht="21.75" customHeight="1" s="83">
      <c r="B5" s="105" t="inlineStr">
        <is>
          <t>Item</t>
        </is>
      </c>
      <c r="C5" s="106" t="inlineStr">
        <is>
          <t>Amount / Rate</t>
        </is>
      </c>
      <c r="D5" s="106" t="inlineStr">
        <is>
          <t>Annual Cost ($M)</t>
        </is>
      </c>
      <c r="E5" s="106" t="inlineStr">
        <is>
          <t>Notes</t>
        </is>
      </c>
    </row>
    <row r="6" ht="4.5" customHeight="1" s="83"/>
    <row r="7" ht="15.75" customHeight="1" s="83">
      <c r="B7" s="94" t="inlineStr">
        <is>
          <t xml:space="preserve">  KEY ASSUMPTIONS</t>
        </is>
      </c>
      <c r="C7" s="95" t="n"/>
      <c r="D7" s="95" t="n"/>
      <c r="E7" s="95" t="n"/>
    </row>
    <row r="8" ht="15" customHeight="1" s="83">
      <c r="B8" s="97" t="inlineStr">
        <is>
          <t xml:space="preserve">  Total new debt raised ($M)</t>
        </is>
      </c>
      <c r="C8" s="107" t="n">
        <v>50470</v>
      </c>
      <c r="E8" s="133" t="inlineStr">
        <is>
          <t>Total new debt = Long-term bonds + MTNs + Commercial paper from Sources and Uses tab</t>
        </is>
      </c>
    </row>
    <row r="9" ht="15" customHeight="1" s="83">
      <c r="B9" s="97" t="inlineStr">
        <is>
          <t xml:space="preserve">  Cash deployed from balance sheet ($M)</t>
        </is>
      </c>
      <c r="C9" s="107" t="n">
        <v>20000</v>
      </c>
      <c r="E9" s="108" t="inlineStr">
        <is>
          <t>Opportunity cost: cash was earning ~4.5% before being deployed</t>
        </is>
      </c>
    </row>
    <row r="10" ht="15" customHeight="1" s="83">
      <c r="B10" s="97" t="inlineStr">
        <is>
          <t xml:space="preserve">  Blended interest rate on new debt</t>
        </is>
      </c>
      <c r="C10" s="134" t="n">
        <v>0.046</v>
      </c>
      <c r="E10" s="108" t="inlineStr">
        <is>
          <t>MSFT Aaa/AAA rated. LT bonds ~4.75%, MTNs ~4.25%, CP ~5.2% — blended ~4.6%</t>
        </is>
      </c>
    </row>
    <row r="11" ht="15" customHeight="1" s="83">
      <c r="B11" s="97" t="inlineStr">
        <is>
          <t xml:space="preserve">  Foregone yield on cash deployed</t>
        </is>
      </c>
      <c r="C11" s="134" t="n">
        <v>0.045</v>
      </c>
      <c r="E11" s="108" t="inlineStr">
        <is>
          <t>Prior yield on MSFT liquid asset portfolio (~4.5% short-dated Treasuries)</t>
        </is>
      </c>
    </row>
    <row r="12" ht="15" customHeight="1" s="83">
      <c r="B12" s="97" t="inlineStr">
        <is>
          <t xml:space="preserve">  Blended tax rate (MSFT effective rate)</t>
        </is>
      </c>
      <c r="C12" s="134" t="n">
        <v>0.188</v>
      </c>
      <c r="E12" s="108" t="inlineStr">
        <is>
          <t>MSFT FY2023 effective tax rate 18.8%. Source: MSFT 10-K FY2023 Note 13</t>
        </is>
      </c>
    </row>
    <row r="13" ht="4.5" customHeight="1" s="83"/>
    <row r="14" ht="15.75" customHeight="1" s="83">
      <c r="B14" s="94" t="inlineStr">
        <is>
          <t xml:space="preserve">  ANNUAL INTEREST COST BREAKDOWN</t>
        </is>
      </c>
      <c r="C14" s="95" t="n"/>
      <c r="D14" s="95" t="n"/>
      <c r="E14" s="95" t="n"/>
    </row>
    <row r="15" ht="15" customHeight="1" s="83">
      <c r="B15" s="97" t="inlineStr">
        <is>
          <t xml:space="preserve">  Interest on new long-term bonds ($M)</t>
        </is>
      </c>
      <c r="C15" s="114">
        <f>'1 - Sources &amp; Uses'!C16</f>
        <v/>
      </c>
      <c r="D15" s="114">
        <f>C15*C10</f>
        <v/>
      </c>
      <c r="E15" s="108" t="inlineStr">
        <is>
          <t>35,000 × 4.75% blended (actual rate varies by tranche)</t>
        </is>
      </c>
    </row>
    <row r="16" ht="15" customHeight="1" s="83">
      <c r="B16" s="97" t="inlineStr">
        <is>
          <t xml:space="preserve">  Interest on medium-term notes ($M)</t>
        </is>
      </c>
      <c r="C16" s="114">
        <f>'1 - Sources &amp; Uses'!C17</f>
        <v/>
      </c>
      <c r="D16" s="114">
        <f>C16*C10</f>
        <v/>
      </c>
    </row>
    <row r="17" ht="15" customHeight="1" s="83">
      <c r="B17" s="97" t="inlineStr">
        <is>
          <t xml:space="preserve">  Interest on commercial paper ($M)</t>
        </is>
      </c>
      <c r="C17" s="114">
        <f>'1 - Sources &amp; Uses'!C18</f>
        <v/>
      </c>
      <c r="D17" s="114">
        <f>C17*C10</f>
        <v/>
      </c>
    </row>
    <row r="18" ht="15" customHeight="1" s="83">
      <c r="B18" s="97" t="inlineStr">
        <is>
          <t xml:space="preserve">  Foregone interest income on cash deployed ($M)</t>
        </is>
      </c>
      <c r="C18" s="114">
        <f>C9</f>
        <v/>
      </c>
      <c r="D18" s="114">
        <f>C9*C11</f>
        <v/>
      </c>
      <c r="E18" s="108" t="inlineStr">
        <is>
          <t>Opportunity cost of using balance sheet cash. Often excluded by bulls; should be included for conservatism</t>
        </is>
      </c>
    </row>
    <row r="19" ht="4.5" customHeight="1" s="83"/>
    <row r="20" ht="15.75" customHeight="1" s="83">
      <c r="B20" s="109" t="inlineStr">
        <is>
          <t xml:space="preserve">  TOTAL GROSS FINANCING COST ($M)</t>
        </is>
      </c>
      <c r="C20" s="95" t="n"/>
      <c r="D20" s="110">
        <f>SUM(D15:D18)</f>
        <v/>
      </c>
      <c r="E20" s="95" t="n"/>
    </row>
    <row r="21" ht="15" customHeight="1" s="83">
      <c r="B21" s="97" t="inlineStr">
        <is>
          <t xml:space="preserve">  Less: tax shield on interest (deductible expense)</t>
        </is>
      </c>
      <c r="D21" s="114">
        <f>-D20*C12</f>
        <v/>
      </c>
      <c r="E21" s="108" t="inlineStr">
        <is>
          <t>Interest expense is tax-deductible — reduces taxable income and therefore tax paid</t>
        </is>
      </c>
    </row>
    <row r="22" ht="4.5" customHeight="1" s="83"/>
    <row r="23" ht="15.75" customHeight="1" s="83">
      <c r="B23" s="102" t="inlineStr">
        <is>
          <t xml:space="preserve">  AFTER-TAX FINANCING COST ($M)</t>
        </is>
      </c>
      <c r="C23" s="135" t="n"/>
      <c r="D23" s="131">
        <f>D20*(1-C12)</f>
        <v/>
      </c>
      <c r="E23" s="135" t="n"/>
    </row>
    <row r="24" ht="4.5" customHeight="1" s="83"/>
    <row r="25" ht="15.75" customHeight="1" s="83">
      <c r="B25" s="94" t="inlineStr">
        <is>
          <t xml:space="preserve">  EPS IMPACT</t>
        </is>
      </c>
      <c r="C25" s="95" t="n"/>
      <c r="D25" s="95" t="n"/>
      <c r="E25" s="95" t="n"/>
    </row>
    <row r="26" ht="15" customHeight="1" s="83">
      <c r="B26" s="97" t="inlineStr">
        <is>
          <t xml:space="preserve">  After-tax financing cost ($M)</t>
        </is>
      </c>
      <c r="D26" s="113">
        <f>D23</f>
        <v/>
      </c>
    </row>
    <row r="27" ht="15" customHeight="1" s="83">
      <c r="B27" s="97" t="inlineStr">
        <is>
          <t xml:space="preserve">  MSFT diluted shares (M)</t>
        </is>
      </c>
      <c r="D27" s="126">
        <f>'2 - Standalone P&amp;L'!C19</f>
        <v/>
      </c>
    </row>
    <row r="28" ht="15" customHeight="1" s="83">
      <c r="B28" s="112" t="inlineStr">
        <is>
          <t xml:space="preserve">  EPS drag from financing ($/share)</t>
        </is>
      </c>
      <c r="D28" s="132">
        <f>-D23/D27</f>
        <v/>
      </c>
      <c r="E28" s="108" t="inlineStr">
        <is>
          <t>Negative = EPS drag. Formula: −After-tax cost ÷ Diluted shares ÷ 1000 (M to units)</t>
        </is>
      </c>
    </row>
    <row r="29" ht="4.5" customHeight="1" s="83"/>
    <row r="30" ht="49.5" customHeight="1" s="83">
      <c r="B30" s="93" t="inlineStr">
        <is>
          <t>INTERVIEW INSIGHT: Why is interest tax-deductible? Because under GAAP and tax law, interest paid on debt reduces taxable income. The government effectively subsidises 18.8¢ of every dollar of interest Microsoft pays. This is the 'debt tax shield' — a core concept in capital structure theory (Modigliani-Miller).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tabColor rgb="FF3B6D11"/>
    <outlinePr summaryBelow="1" summaryRight="1"/>
    <pageSetUpPr fitToPage="0"/>
  </sheetPr>
  <dimension ref="A1:I36"/>
  <sheetViews>
    <sheetView showFormulas="0" showGridLines="0" showRowColHeaders="1" showZeros="1" rightToLeft="0" tabSelected="0" showOutlineSymbols="1" defaultGridColor="1"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baseColWidth="8" defaultColWidth="8.6796875" defaultRowHeight="15" zeroHeight="0" outlineLevelRow="0"/>
  <cols>
    <col width="2" customWidth="1" style="82" min="1" max="1"/>
    <col width="38" customWidth="1" style="82" min="2" max="2"/>
    <col width="14" customWidth="1" style="82" min="3" max="7"/>
    <col width="22" customWidth="1" style="82" min="8" max="8"/>
  </cols>
  <sheetData>
    <row r="1" ht="15.75" customHeight="1" s="83">
      <c r="A1" s="84" t="n"/>
      <c r="B1" s="84" t="n"/>
      <c r="C1" s="84" t="n"/>
      <c r="D1" s="84" t="n"/>
      <c r="E1" s="84" t="n"/>
      <c r="F1" s="84" t="n"/>
      <c r="G1" s="84" t="n"/>
      <c r="H1" s="84" t="n"/>
      <c r="I1" s="84" t="n"/>
    </row>
    <row r="2" ht="15.75" customHeight="1" s="83">
      <c r="A2" s="84" t="n"/>
      <c r="B2" s="104" t="inlineStr">
        <is>
          <t>STEP 5: SYNERGY ASSUMPTIONS &amp; REALISATION SCHEDULE</t>
        </is>
      </c>
      <c r="C2" s="84" t="n"/>
      <c r="D2" s="84" t="n"/>
      <c r="E2" s="84" t="n"/>
      <c r="F2" s="84" t="n"/>
      <c r="G2" s="84" t="n"/>
      <c r="H2" s="84" t="n"/>
      <c r="I2" s="84" t="n"/>
    </row>
    <row r="3" ht="15.75" customHeight="1" s="83">
      <c r="A3" s="84" t="n"/>
      <c r="B3" s="86" t="inlineStr">
        <is>
          <t>Annual run-rate synergies and year-by-year realisation  |  $M  |  3-year ramp</t>
        </is>
      </c>
      <c r="C3" s="84" t="n"/>
      <c r="D3" s="84" t="n"/>
      <c r="E3" s="84" t="n"/>
      <c r="F3" s="84" t="n"/>
      <c r="G3" s="84" t="n"/>
      <c r="H3" s="84" t="n"/>
      <c r="I3" s="84" t="n"/>
    </row>
    <row r="4" ht="15.75" customHeight="1" s="83">
      <c r="A4" s="84" t="n"/>
      <c r="B4" s="84" t="n"/>
      <c r="C4" s="84" t="n"/>
      <c r="D4" s="84" t="n"/>
      <c r="E4" s="84" t="n"/>
      <c r="F4" s="84" t="n"/>
      <c r="G4" s="84" t="n"/>
      <c r="H4" s="84" t="n"/>
      <c r="I4" s="84" t="n"/>
    </row>
    <row r="5" ht="21.75" customHeight="1" s="83">
      <c r="B5" s="105" t="inlineStr">
        <is>
          <t>Synergy Item</t>
        </is>
      </c>
      <c r="C5" s="106" t="inlineStr">
        <is>
          <t>Type</t>
        </is>
      </c>
      <c r="D5" s="106" t="inlineStr">
        <is>
          <t>Run-Rate ($M)</t>
        </is>
      </c>
      <c r="E5" s="106" t="inlineStr">
        <is>
          <t>Source / Rationale</t>
        </is>
      </c>
      <c r="F5" s="106" t="inlineStr">
        <is>
          <t>Confidence</t>
        </is>
      </c>
    </row>
    <row r="6" ht="4.5" customHeight="1" s="83"/>
    <row r="7" ht="15.75" customHeight="1" s="83">
      <c r="B7" s="94" t="inlineStr">
        <is>
          <t xml:space="preserve">  COST SYNERGIES — higher confidence, typically modelled at full credit</t>
        </is>
      </c>
      <c r="C7" s="95" t="n"/>
      <c r="D7" s="95" t="n"/>
      <c r="E7" s="95" t="n"/>
      <c r="F7" s="95" t="n"/>
    </row>
    <row r="8" ht="18" customHeight="1" s="83">
      <c r="B8" s="97" t="inlineStr">
        <is>
          <t xml:space="preserve">  Corporate function overlap (Finance, HR, Legal, IT)</t>
        </is>
      </c>
      <c r="C8" s="128" t="inlineStr">
        <is>
          <t>Cost</t>
        </is>
      </c>
      <c r="D8" s="107" t="n">
        <v>450</v>
      </c>
      <c r="E8" s="136" t="inlineStr">
        <is>
          <t>~3,750 roles eliminated × $120K avg total comp</t>
        </is>
      </c>
      <c r="F8" s="128" t="inlineStr">
        <is>
          <t>High</t>
        </is>
      </c>
    </row>
    <row r="9" ht="18" customHeight="1" s="83">
      <c r="B9" s="97" t="inlineStr">
        <is>
          <t xml:space="preserve">  Infrastructure / cloud migration to Azure</t>
        </is>
      </c>
      <c r="C9" s="128" t="inlineStr">
        <is>
          <t>Cost</t>
        </is>
      </c>
      <c r="D9" s="107" t="n">
        <v>380</v>
      </c>
      <c r="E9" s="136" t="inlineStr">
        <is>
          <t>ATVI workloads move to MSFT Azure from AWS/GCP</t>
        </is>
      </c>
      <c r="F9" s="128" t="inlineStr">
        <is>
          <t>High</t>
        </is>
      </c>
    </row>
    <row r="10" ht="18" customHeight="1" s="83">
      <c r="B10" s="97" t="inlineStr">
        <is>
          <t xml:space="preserve">  Procurement savings (shared vendor contracts)</t>
        </is>
      </c>
      <c r="C10" s="128" t="inlineStr">
        <is>
          <t>Cost</t>
        </is>
      </c>
      <c r="D10" s="107" t="n">
        <v>180</v>
      </c>
      <c r="E10" s="136" t="inlineStr">
        <is>
          <t>Leverage MSFT's $50B+ annual procurement scale</t>
        </is>
      </c>
      <c r="F10" s="128" t="inlineStr">
        <is>
          <t>Medium</t>
        </is>
      </c>
    </row>
    <row r="11" ht="18" customHeight="1" s="83">
      <c r="B11" s="97" t="inlineStr">
        <is>
          <t xml:space="preserve">  Real estate consolidation</t>
        </is>
      </c>
      <c r="C11" s="128" t="inlineStr">
        <is>
          <t>Cost</t>
        </is>
      </c>
      <c r="D11" s="107" t="n">
        <v>90</v>
      </c>
      <c r="E11" s="136" t="inlineStr">
        <is>
          <t>ATVI offices overlap with MSFT in LA, Seattle, Dublin</t>
        </is>
      </c>
      <c r="F11" s="128" t="inlineStr">
        <is>
          <t>Medium</t>
        </is>
      </c>
    </row>
    <row r="12" ht="15.75" customHeight="1" s="83">
      <c r="B12" s="137" t="inlineStr">
        <is>
          <t xml:space="preserve">  Total Cost Synergies</t>
        </is>
      </c>
      <c r="C12" s="138" t="n"/>
      <c r="D12" s="139">
        <f>SUM(D8:D11)</f>
        <v/>
      </c>
      <c r="E12" s="138" t="n"/>
      <c r="F12" s="138" t="n"/>
    </row>
    <row r="13" ht="4.5" customHeight="1" s="83"/>
    <row r="14" ht="15.75" customHeight="1" s="83">
      <c r="B14" s="94" t="inlineStr">
        <is>
          <t xml:space="preserve">  REVENUE SYNERGIES — lower confidence; apply 50% haircut in conservative case</t>
        </is>
      </c>
      <c r="C14" s="95" t="n"/>
      <c r="D14" s="95" t="n"/>
      <c r="E14" s="95" t="n"/>
      <c r="F14" s="95" t="n"/>
    </row>
    <row r="15" ht="18" customHeight="1" s="83">
      <c r="B15" s="97" t="inlineStr">
        <is>
          <t xml:space="preserve">  Game Pass subscriber uplift from ATVI titles</t>
        </is>
      </c>
      <c r="C15" s="128" t="inlineStr">
        <is>
          <t>Revenue</t>
        </is>
      </c>
      <c r="D15" s="107" t="n">
        <v>800</v>
      </c>
      <c r="E15" s="136" t="inlineStr">
        <is>
          <t>CoD/WoW/Overwatch on Game Pass drives net adds at $15/mo</t>
        </is>
      </c>
      <c r="F15" s="128" t="inlineStr">
        <is>
          <t>Medium</t>
        </is>
      </c>
    </row>
    <row r="16" ht="18" customHeight="1" s="83">
      <c r="B16" s="97" t="inlineStr">
        <is>
          <t xml:space="preserve">  Mobile gaming monetisation (King + MSFT distribution)</t>
        </is>
      </c>
      <c r="C16" s="128" t="inlineStr">
        <is>
          <t>Revenue</t>
        </is>
      </c>
      <c r="D16" s="107" t="n">
        <v>600</v>
      </c>
      <c r="E16" s="136" t="inlineStr">
        <is>
          <t>Candy Crush + MSFT mobile reach + Azure backend savings</t>
        </is>
      </c>
      <c r="F16" s="128" t="inlineStr">
        <is>
          <t>Low</t>
        </is>
      </c>
    </row>
    <row r="17" ht="18" customHeight="1" s="83">
      <c r="B17" s="97" t="inlineStr">
        <is>
          <t xml:space="preserve">  Cross-sell / upsell between player bases</t>
        </is>
      </c>
      <c r="C17" s="128" t="inlineStr">
        <is>
          <t>Revenue</t>
        </is>
      </c>
      <c r="D17" s="107" t="n">
        <v>350</v>
      </c>
      <c r="E17" s="136" t="inlineStr">
        <is>
          <t>ATVI players upgrade to Xbox/MSFT ecosystem products</t>
        </is>
      </c>
      <c r="F17" s="128" t="inlineStr">
        <is>
          <t>Low</t>
        </is>
      </c>
    </row>
    <row r="18" ht="18" customHeight="1" s="83">
      <c r="B18" s="97" t="inlineStr">
        <is>
          <t xml:space="preserve">  International market expansion (China, EM)</t>
        </is>
      </c>
      <c r="C18" s="128" t="inlineStr">
        <is>
          <t>Revenue</t>
        </is>
      </c>
      <c r="D18" s="107" t="n">
        <v>250</v>
      </c>
      <c r="E18" s="136" t="inlineStr">
        <is>
          <t>ATVI titles + MSFT enterprise relationships open new markets</t>
        </is>
      </c>
      <c r="F18" s="128" t="inlineStr">
        <is>
          <t>Low</t>
        </is>
      </c>
    </row>
    <row r="19" ht="15.75" customHeight="1" s="83">
      <c r="B19" s="137" t="inlineStr">
        <is>
          <t xml:space="preserve">  Total Revenue Synergies (gross)</t>
        </is>
      </c>
      <c r="C19" s="138" t="n"/>
      <c r="D19" s="139">
        <f>SUM(D15:D18)</f>
        <v/>
      </c>
      <c r="E19" s="138" t="n"/>
      <c r="F19" s="138" t="n"/>
    </row>
    <row r="20" ht="4.5" customHeight="1" s="83"/>
    <row r="21" ht="15.75" customHeight="1" s="83">
      <c r="B21" s="94" t="inlineStr">
        <is>
          <t xml:space="preserve">  TOTAL SYNERGIES SUMMARY</t>
        </is>
      </c>
      <c r="C21" s="95" t="n"/>
      <c r="D21" s="95" t="n"/>
      <c r="E21" s="95" t="n"/>
      <c r="F21" s="95" t="n"/>
    </row>
    <row r="22" ht="15" customHeight="1" s="83">
      <c r="B22" s="97" t="inlineStr">
        <is>
          <t xml:space="preserve">  Total Cost Synergies</t>
        </is>
      </c>
      <c r="D22" s="114">
        <f>D12</f>
        <v/>
      </c>
    </row>
    <row r="23" ht="15" customHeight="1" s="83">
      <c r="B23" s="97" t="inlineStr">
        <is>
          <t xml:space="preserve">  Total Revenue Synergies (gross)</t>
        </is>
      </c>
      <c r="D23" s="114">
        <f>D19</f>
        <v/>
      </c>
    </row>
    <row r="24" ht="15" customHeight="1" s="83">
      <c r="B24" s="97" t="inlineStr">
        <is>
          <t xml:space="preserve">  Revenue synergy haircut (conservative case)</t>
        </is>
      </c>
      <c r="C24" s="134" t="n">
        <v>0.5</v>
      </c>
      <c r="E24" s="108" t="inlineStr">
        <is>
          <t>Standard practice: discount revenue synergies 50% to reflect execution risk vs. cost synergies</t>
        </is>
      </c>
    </row>
    <row r="25" ht="15" customHeight="1" s="83">
      <c r="B25" s="97" t="inlineStr">
        <is>
          <t xml:space="preserve">  Adjusted Revenue Synergies (post-haircut)</t>
        </is>
      </c>
      <c r="D25" s="114">
        <f>D23*(1-C24)</f>
        <v/>
      </c>
    </row>
    <row r="26" ht="15.75" customHeight="1" s="83">
      <c r="B26" s="140" t="inlineStr">
        <is>
          <t xml:space="preserve">  TOTAL RUN-RATE SYNERGIES (base case)</t>
        </is>
      </c>
      <c r="C26" s="138" t="n"/>
      <c r="D26" s="141">
        <f>D22+D25</f>
        <v/>
      </c>
      <c r="E26" s="138" t="n"/>
      <c r="F26" s="138" t="n"/>
    </row>
    <row r="27" ht="4.5" customHeight="1" s="83"/>
    <row r="28" ht="15.75" customHeight="1" s="83">
      <c r="B28" s="94" t="inlineStr">
        <is>
          <t xml:space="preserve">  REALISATION SCHEDULE (how quickly synergies are achieved)</t>
        </is>
      </c>
      <c r="C28" s="95" t="n"/>
      <c r="D28" s="95" t="n"/>
      <c r="E28" s="95" t="n"/>
      <c r="F28" s="95" t="n"/>
    </row>
    <row r="29" ht="21.75" customHeight="1" s="83">
      <c r="B29" s="105" t="inlineStr">
        <is>
          <t>Item</t>
        </is>
      </c>
      <c r="C29" s="106" t="inlineStr">
        <is>
          <t>Run-Rate</t>
        </is>
      </c>
      <c r="D29" s="106" t="inlineStr">
        <is>
          <t>Year 1</t>
        </is>
      </c>
      <c r="E29" s="106" t="inlineStr">
        <is>
          <t>Year 2</t>
        </is>
      </c>
      <c r="F29" s="106" t="inlineStr">
        <is>
          <t>Year 3</t>
        </is>
      </c>
    </row>
    <row r="30" ht="15" customHeight="1" s="83">
      <c r="B30" s="97" t="inlineStr">
        <is>
          <t xml:space="preserve">  Realisation rate assumption</t>
        </is>
      </c>
      <c r="D30" s="134" t="n">
        <v>0.4</v>
      </c>
      <c r="E30" s="134" t="n">
        <v>0.7</v>
      </c>
      <c r="F30" s="134" t="n">
        <v>1</v>
      </c>
    </row>
    <row r="31" ht="15" customHeight="1" s="83">
      <c r="B31" s="97" t="inlineStr">
        <is>
          <t xml:space="preserve">    Cost synergies achieved ($M)</t>
        </is>
      </c>
      <c r="C31" s="114">
        <f>D12</f>
        <v/>
      </c>
      <c r="D31" s="114">
        <f>C31*D30</f>
        <v/>
      </c>
      <c r="E31" s="114">
        <f>C31*E30</f>
        <v/>
      </c>
      <c r="F31" s="114">
        <f>C31*F30</f>
        <v/>
      </c>
    </row>
    <row r="32" ht="15" customHeight="1" s="83">
      <c r="B32" s="97" t="inlineStr">
        <is>
          <t xml:space="preserve">    Revenue synergies achieved ($M)</t>
        </is>
      </c>
      <c r="C32" s="114">
        <f>D25</f>
        <v/>
      </c>
      <c r="D32" s="114">
        <f>C32*D30</f>
        <v/>
      </c>
      <c r="E32" s="114">
        <f>C32*E30</f>
        <v/>
      </c>
      <c r="F32" s="114">
        <f>C32*F30</f>
        <v/>
      </c>
    </row>
    <row r="33" ht="15.75" customHeight="1" s="83">
      <c r="B33" s="137" t="inlineStr">
        <is>
          <t xml:space="preserve">  Total gross synergies realised ($M)</t>
        </is>
      </c>
      <c r="C33" s="139">
        <f>D26</f>
        <v/>
      </c>
      <c r="D33" s="142">
        <f>D31+D32</f>
        <v/>
      </c>
      <c r="E33" s="142">
        <f>E31+E32</f>
        <v/>
      </c>
      <c r="F33" s="142">
        <f>F31+F32</f>
        <v/>
      </c>
    </row>
    <row r="34" ht="15" customHeight="1" s="83">
      <c r="B34" s="97" t="inlineStr">
        <is>
          <t xml:space="preserve">  Tax rate</t>
        </is>
      </c>
      <c r="C34" s="130">
        <f>'4 - Financing Cost'!$C$12</f>
        <v/>
      </c>
    </row>
    <row r="35" ht="15.75" customHeight="1" s="83">
      <c r="B35" s="140" t="inlineStr">
        <is>
          <t xml:space="preserve">  After-tax synergies ($M) — flows to pro forma NI</t>
        </is>
      </c>
      <c r="C35" s="138" t="n"/>
      <c r="D35" s="141">
        <f>D33*(1-C34)</f>
        <v/>
      </c>
      <c r="E35" s="141">
        <f>E33*(1-C34)</f>
        <v/>
      </c>
      <c r="F35" s="141">
        <f>F33*(1-C34)</f>
        <v/>
      </c>
    </row>
    <row r="36" ht="15" customHeight="1" s="83">
      <c r="B36" s="112" t="inlineStr">
        <is>
          <t xml:space="preserve">  EPS uplift from synergies ($/share)</t>
        </is>
      </c>
      <c r="D36" s="143">
        <f>D35/'2 - Standalone P&amp;L'!C19</f>
        <v/>
      </c>
      <c r="E36" s="143">
        <f>E35/'2 - Standalone P&amp;L'!C19</f>
        <v/>
      </c>
      <c r="F36" s="143">
        <f>F35/'2 - Standalone P&amp;L'!C19</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tabColor rgb="FF1B3A6B"/>
    <outlinePr summaryBelow="1" summaryRight="1"/>
    <pageSetUpPr fitToPage="0"/>
  </sheetPr>
  <dimension ref="A1:I41"/>
  <sheetViews>
    <sheetView showFormulas="0" showGridLines="0" showRowColHeaders="1" showZeros="1" rightToLeft="0" tabSelected="0" showOutlineSymbols="1" defaultGridColor="1"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baseColWidth="8" defaultColWidth="8.6796875" defaultRowHeight="15" zeroHeight="0" outlineLevelRow="0"/>
  <cols>
    <col width="2" customWidth="1" style="82" min="1" max="1"/>
    <col width="40" customWidth="1" style="82" min="2" max="2"/>
    <col width="14" customWidth="1" style="82" min="3" max="6"/>
    <col width="22" customWidth="1" style="82" min="7" max="7"/>
  </cols>
  <sheetData>
    <row r="1" ht="15.75" customHeight="1" s="83">
      <c r="A1" s="84" t="n"/>
      <c r="B1" s="84" t="n"/>
      <c r="C1" s="84" t="n"/>
      <c r="D1" s="84" t="n"/>
      <c r="E1" s="84" t="n"/>
      <c r="F1" s="84" t="n"/>
      <c r="G1" s="84" t="n"/>
      <c r="H1" s="84" t="n"/>
    </row>
    <row r="2" ht="15.75" customHeight="1" s="83">
      <c r="A2" s="84" t="n"/>
      <c r="B2" s="104" t="inlineStr">
        <is>
          <t>STEP 6: PRO FORMA EPS &amp; ACCRETION / DILUTION VERDICT</t>
        </is>
      </c>
      <c r="C2" s="84" t="n"/>
      <c r="D2" s="84" t="n"/>
      <c r="E2" s="84" t="n"/>
      <c r="F2" s="84" t="n"/>
      <c r="G2" s="84" t="n"/>
      <c r="H2" s="84" t="n"/>
    </row>
    <row r="3" ht="15.75" customHeight="1" s="83">
      <c r="A3" s="84" t="n"/>
      <c r="B3" s="86" t="inlineStr">
        <is>
          <t>Combines all prior steps into the final answer  |  $M unless noted</t>
        </is>
      </c>
      <c r="C3" s="84" t="n"/>
      <c r="D3" s="84" t="n"/>
      <c r="E3" s="84" t="n"/>
      <c r="F3" s="84" t="n"/>
      <c r="G3" s="84" t="n"/>
      <c r="H3" s="84" t="n"/>
    </row>
    <row r="4" ht="15.75" customHeight="1" s="83">
      <c r="A4" s="84" t="n"/>
      <c r="B4" s="84" t="n"/>
      <c r="C4" s="84" t="n"/>
      <c r="D4" s="84" t="n"/>
      <c r="E4" s="84" t="n"/>
      <c r="F4" s="84" t="n"/>
      <c r="G4" s="84" t="n"/>
      <c r="H4" s="84" t="n"/>
    </row>
    <row r="5" ht="21.75" customHeight="1" s="83">
      <c r="B5" s="105" t="inlineStr">
        <is>
          <t>Line Item</t>
        </is>
      </c>
      <c r="C5" s="106" t="inlineStr">
        <is>
          <t>Year 1</t>
        </is>
      </c>
      <c r="D5" s="106" t="inlineStr">
        <is>
          <t>Year 2</t>
        </is>
      </c>
      <c r="E5" s="106" t="inlineStr">
        <is>
          <t>Year 3</t>
        </is>
      </c>
      <c r="F5" s="106" t="inlineStr">
        <is>
          <t>Run-Rate</t>
        </is>
      </c>
      <c r="G5" s="106" t="inlineStr">
        <is>
          <t>Formula / Notes</t>
        </is>
      </c>
    </row>
    <row r="6" ht="4.5" customHeight="1" s="83"/>
    <row r="7" ht="15.75" customHeight="1" s="83">
      <c r="B7" s="94" t="inlineStr">
        <is>
          <t xml:space="preserve">  PRO FORMA NET INCOME BUILD</t>
        </is>
      </c>
      <c r="C7" s="95" t="n"/>
      <c r="D7" s="95" t="n"/>
      <c r="E7" s="95" t="n"/>
      <c r="F7" s="95" t="n"/>
      <c r="G7" s="95" t="n"/>
    </row>
    <row r="8" ht="15.75" customHeight="1" s="83">
      <c r="B8" s="144" t="inlineStr">
        <is>
          <t xml:space="preserve">  MSFT standalone net income ($M)</t>
        </is>
      </c>
      <c r="C8" s="118">
        <f>'2 - Standalone P&amp;L'!C17</f>
        <v/>
      </c>
      <c r="D8" s="118">
        <f>'2 - Standalone P&amp;L'!C17</f>
        <v/>
      </c>
      <c r="E8" s="118">
        <f>'2 - Standalone P&amp;L'!C17</f>
        <v/>
      </c>
      <c r="F8" s="118">
        <f>'2 - Standalone P&amp;L'!C17</f>
        <v/>
      </c>
      <c r="G8" s="145" t="inlineStr">
        <is>
          <t>Links from Standalone P&amp;L tab. Fixed across all years (no growth modelled here)</t>
        </is>
      </c>
    </row>
    <row r="9" ht="15" customHeight="1" s="83">
      <c r="B9" s="97" t="inlineStr">
        <is>
          <t xml:space="preserve">  (+) ATVI acquired net income ($M)</t>
        </is>
      </c>
      <c r="C9" s="146">
        <f>'2 - Standalone P&amp;L'!D17</f>
        <v/>
      </c>
      <c r="D9" s="146">
        <f>'2 - Standalone P&amp;L'!D17</f>
        <v/>
      </c>
      <c r="E9" s="146">
        <f>'2 - Standalone P&amp;L'!D17</f>
        <v/>
      </c>
      <c r="F9" s="146">
        <f>'2 - Standalone P&amp;L'!D17</f>
        <v/>
      </c>
      <c r="G9" s="108" t="inlineStr">
        <is>
          <t>ATVI net income added to combined entity. Assume flat for simplicity; can add growth</t>
        </is>
      </c>
    </row>
    <row r="10" ht="15" customHeight="1" s="83">
      <c r="B10" s="97" t="inlineStr">
        <is>
          <t xml:space="preserve">  (−) After-tax financing cost ($M)</t>
        </is>
      </c>
      <c r="C10" s="147">
        <f>-'4 - Financing Cost'!D23</f>
        <v/>
      </c>
      <c r="D10" s="147">
        <f>-'4 - Financing Cost'!D23</f>
        <v/>
      </c>
      <c r="E10" s="147">
        <f>-'4 - Financing Cost'!D23</f>
        <v/>
      </c>
      <c r="F10" s="147">
        <f>-'4 - Financing Cost'!D23</f>
        <v/>
      </c>
      <c r="G10" s="108" t="inlineStr">
        <is>
          <t>Annual interest cost after tax shield. Fixed; reduces as debt is optionally repaid</t>
        </is>
      </c>
    </row>
    <row r="11" ht="15" customHeight="1" s="83">
      <c r="B11" s="97" t="inlineStr">
        <is>
          <t xml:space="preserve">  (−) After-tax PPA amortisation ($M)</t>
        </is>
      </c>
      <c r="C11" s="147">
        <f>-'3 - PPA &amp; Amortisation'!C31</f>
        <v/>
      </c>
      <c r="D11" s="147">
        <f>-'3 - PPA &amp; Amortisation'!C31</f>
        <v/>
      </c>
      <c r="E11" s="147">
        <f>-'3 - PPA &amp; Amortisation'!C31</f>
        <v/>
      </c>
      <c r="F11" s="147">
        <f>-'3 - PPA &amp; Amortisation'!C31</f>
        <v/>
      </c>
      <c r="G11" s="108" t="inlineStr">
        <is>
          <t>Declines over time as assets become fully amortised. Run-rate column shows steady-state</t>
        </is>
      </c>
    </row>
    <row r="12" ht="15" customHeight="1" s="83">
      <c r="B12" s="97" t="inlineStr">
        <is>
          <t xml:space="preserve">  (+) After-tax synergies — realised ($M)</t>
        </is>
      </c>
      <c r="C12" s="146">
        <f>'5 - Synergies'!D35</f>
        <v/>
      </c>
      <c r="D12" s="146">
        <f>'5 - Synergies'!E35</f>
        <v/>
      </c>
      <c r="E12" s="146">
        <f>'5 - Synergies'!F35</f>
        <v/>
      </c>
      <c r="F12" s="146">
        <f>'5 - Synergies'!D26*(1-'4 - Financing Cost'!$C$12)</f>
        <v/>
      </c>
      <c r="G12" s="108" t="inlineStr">
        <is>
          <t>Ramps up: 40% Yr1 → 70% Yr2 → 100% Yr3 → full run-rate thereafter</t>
        </is>
      </c>
    </row>
    <row r="13" ht="4.5" customHeight="1" s="83"/>
    <row r="14" ht="15.75" customHeight="1" s="83">
      <c r="B14" s="144" t="inlineStr">
        <is>
          <t xml:space="preserve">  PRO FORMA NET INCOME ($M)</t>
        </is>
      </c>
      <c r="C14" s="118">
        <f>C8+C9+C10+C11+C12</f>
        <v/>
      </c>
      <c r="D14" s="118">
        <f>D8+D9+D10+D11+D12</f>
        <v/>
      </c>
      <c r="E14" s="118">
        <f>E8+E9+E10+E11+E12</f>
        <v/>
      </c>
      <c r="F14" s="118">
        <f>F8+F9+F10+F11+F12</f>
        <v/>
      </c>
      <c r="G14" s="119" t="n"/>
    </row>
    <row r="15" ht="4.5" customHeight="1" s="83"/>
    <row r="16" ht="15.75" customHeight="1" s="83">
      <c r="B16" s="94" t="inlineStr">
        <is>
          <t xml:space="preserve">  PRO FORMA EPS — THE VERDICT</t>
        </is>
      </c>
      <c r="C16" s="95" t="n"/>
      <c r="D16" s="95" t="n"/>
      <c r="E16" s="95" t="n"/>
      <c r="F16" s="95" t="n"/>
      <c r="G16" s="95" t="n"/>
    </row>
    <row r="17" ht="15" customHeight="1" s="83">
      <c r="B17" s="97" t="inlineStr">
        <is>
          <t xml:space="preserve">  Diluted shares outstanding (M) — unchanged (all-cash)</t>
        </is>
      </c>
      <c r="C17" s="126">
        <f>'2 - Standalone P&amp;L'!C19</f>
        <v/>
      </c>
      <c r="D17" s="126">
        <f>'2 - Standalone P&amp;L'!C19</f>
        <v/>
      </c>
      <c r="E17" s="126">
        <f>'2 - Standalone P&amp;L'!C19</f>
        <v/>
      </c>
      <c r="F17" s="126">
        <f>'2 - Standalone P&amp;L'!C19</f>
        <v/>
      </c>
    </row>
    <row r="18" ht="15.75" customHeight="1" s="83">
      <c r="B18" s="144" t="inlineStr">
        <is>
          <t xml:space="preserve">  PRO FORMA EPS ($/share)</t>
        </is>
      </c>
      <c r="C18" s="120">
        <f>C14/C17</f>
        <v/>
      </c>
      <c r="D18" s="120">
        <f>D14/D17</f>
        <v/>
      </c>
      <c r="E18" s="120">
        <f>E14/E17</f>
        <v/>
      </c>
      <c r="F18" s="120">
        <f>F14/F17</f>
        <v/>
      </c>
      <c r="G18" s="119" t="n"/>
    </row>
    <row r="19" ht="15" customHeight="1" s="83">
      <c r="B19" s="112" t="inlineStr">
        <is>
          <t xml:space="preserve">  MSFT standalone EPS ($/share)</t>
        </is>
      </c>
      <c r="C19" s="148">
        <f>'2 - Standalone P&amp;L'!C20</f>
        <v/>
      </c>
      <c r="D19" s="148">
        <f>'2 - Standalone P&amp;L'!C20</f>
        <v/>
      </c>
      <c r="E19" s="148">
        <f>'2 - Standalone P&amp;L'!C20</f>
        <v/>
      </c>
      <c r="F19" s="148">
        <f>'2 - Standalone P&amp;L'!C20</f>
        <v/>
      </c>
    </row>
    <row r="20" ht="15" customHeight="1" s="83">
      <c r="B20" s="112" t="inlineStr">
        <is>
          <t xml:space="preserve">  Accretion / (Dilution) ($) per share</t>
        </is>
      </c>
      <c r="C20" s="149">
        <f>C18-C19</f>
        <v/>
      </c>
      <c r="D20" s="149">
        <f>D18-D19</f>
        <v/>
      </c>
      <c r="E20" s="149">
        <f>E18-E19</f>
        <v/>
      </c>
      <c r="F20" s="149">
        <f>F18-F19</f>
        <v/>
      </c>
    </row>
    <row r="21" ht="15.75" customHeight="1" s="83">
      <c r="B21" s="103" t="inlineStr">
        <is>
          <t xml:space="preserve">  ACCRETION / (DILUTION) % vs. standalone</t>
        </is>
      </c>
      <c r="C21" s="150">
        <f>C20/C19</f>
        <v/>
      </c>
      <c r="D21" s="150">
        <f>D20/D19</f>
        <v/>
      </c>
      <c r="E21" s="150">
        <f>E20/E19</f>
        <v/>
      </c>
      <c r="F21" s="150">
        <f>F20/F19</f>
        <v/>
      </c>
      <c r="G21" s="151" t="n"/>
    </row>
    <row r="23" ht="15.75" customHeight="1" s="83">
      <c r="B23" s="94" t="inlineStr">
        <is>
          <t xml:space="preserve">  SENSITIVITY TABLE: Year 1 EPS Accretion / (Dilution) %</t>
        </is>
      </c>
      <c r="C23" s="95" t="n"/>
      <c r="D23" s="95" t="n"/>
      <c r="E23" s="95" t="n"/>
      <c r="F23" s="95" t="n"/>
      <c r="G23" s="95" t="n"/>
    </row>
    <row r="24" ht="13.5" customHeight="1" s="83">
      <c r="B24" s="152" t="inlineStr">
        <is>
          <t>Rows = blended interest rate on new debt  |  Columns = Year 1 gross synergies realised ($M)</t>
        </is>
      </c>
    </row>
    <row r="25" ht="15.75" customHeight="1" s="83">
      <c r="B25" s="153" t="inlineStr">
        <is>
          <t>Rate \ Synergies →</t>
        </is>
      </c>
      <c r="C25" s="154" t="inlineStr">
        <is>
          <t>$0M</t>
        </is>
      </c>
      <c r="D25" s="154" t="inlineStr">
        <is>
          <t>$500M</t>
        </is>
      </c>
      <c r="E25" s="154" t="inlineStr">
        <is>
          <t>$1,000M</t>
        </is>
      </c>
      <c r="F25" s="154" t="inlineStr">
        <is>
          <t>$1,500M</t>
        </is>
      </c>
      <c r="G25" s="154" t="inlineStr">
        <is>
          <t>$2,000M</t>
        </is>
      </c>
      <c r="H25" s="154" t="inlineStr">
        <is>
          <t>$2,500M</t>
        </is>
      </c>
      <c r="I25" s="154" t="inlineStr">
        <is>
          <t>$3,500M</t>
        </is>
      </c>
    </row>
    <row r="26" ht="15" customHeight="1" s="83">
      <c r="B26" s="154" t="inlineStr">
        <is>
          <t>3.0%</t>
        </is>
      </c>
      <c r="C26" s="115">
        <f>( ('2 - Standalone P&amp;L'!C17+'2 - Standalone P&amp;L'!D17-('4 - Financing Cost'!C8*0.03+'4 - Financing Cost'!C9*'4 - Financing Cost'!C11)*(1-'4 - Financing Cost'!C12)-'3 - PPA &amp; Amortisation'!C31+0*(1-'4 - Financing Cost'!C12))/'2 - Standalone P&amp;L'!C19-'2 - Standalone P&amp;L'!C20)/'2 - Standalone P&amp;L'!C20</f>
        <v/>
      </c>
      <c r="D26" s="115">
        <f>( ('2 - Standalone P&amp;L'!C17+'2 - Standalone P&amp;L'!D17-('4 - Financing Cost'!C8*0.03+'4 - Financing Cost'!C9*'4 - Financing Cost'!C11)*(1-'4 - Financing Cost'!C12)-'3 - PPA &amp; Amortisation'!C31+500*(1-'4 - Financing Cost'!C12))/'2 - Standalone P&amp;L'!C19-'2 - Standalone P&amp;L'!C20)/'2 - Standalone P&amp;L'!C20</f>
        <v/>
      </c>
      <c r="E26" s="115">
        <f>( ('2 - Standalone P&amp;L'!C17+'2 - Standalone P&amp;L'!D17-('4 - Financing Cost'!C8*0.03+'4 - Financing Cost'!C9*'4 - Financing Cost'!C11)*(1-'4 - Financing Cost'!C12)-'3 - PPA &amp; Amortisation'!C31+1000*(1-'4 - Financing Cost'!C12))/'2 - Standalone P&amp;L'!C19-'2 - Standalone P&amp;L'!C20)/'2 - Standalone P&amp;L'!C20</f>
        <v/>
      </c>
      <c r="F26" s="115">
        <f>( ('2 - Standalone P&amp;L'!C17+'2 - Standalone P&amp;L'!D17-('4 - Financing Cost'!C8*0.03+'4 - Financing Cost'!C9*'4 - Financing Cost'!C11)*(1-'4 - Financing Cost'!C12)-'3 - PPA &amp; Amortisation'!C31+1500*(1-'4 - Financing Cost'!C12))/'2 - Standalone P&amp;L'!C19-'2 - Standalone P&amp;L'!C20)/'2 - Standalone P&amp;L'!C20</f>
        <v/>
      </c>
      <c r="G26" s="115">
        <f>( ('2 - Standalone P&amp;L'!C17+'2 - Standalone P&amp;L'!D17-('4 - Financing Cost'!C8*0.03+'4 - Financing Cost'!C9*'4 - Financing Cost'!C11)*(1-'4 - Financing Cost'!C12)-'3 - PPA &amp; Amortisation'!C31+2000*(1-'4 - Financing Cost'!C12))/'2 - Standalone P&amp;L'!C19-'2 - Standalone P&amp;L'!C20)/'2 - Standalone P&amp;L'!C20</f>
        <v/>
      </c>
      <c r="H26" s="115">
        <f>( ('2 - Standalone P&amp;L'!C17+'2 - Standalone P&amp;L'!D17-('4 - Financing Cost'!C8*0.03+'4 - Financing Cost'!C9*'4 - Financing Cost'!C11)*(1-'4 - Financing Cost'!C12)-'3 - PPA &amp; Amortisation'!C31+2500*(1-'4 - Financing Cost'!C12))/'2 - Standalone P&amp;L'!C19-'2 - Standalone P&amp;L'!C20)/'2 - Standalone P&amp;L'!C20</f>
        <v/>
      </c>
      <c r="I26" s="115">
        <f>( ('2 - Standalone P&amp;L'!C17+'2 - Standalone P&amp;L'!D17-('4 - Financing Cost'!C8*0.03+'4 - Financing Cost'!C9*'4 - Financing Cost'!C11)*(1-'4 - Financing Cost'!C12)-'3 - PPA &amp; Amortisation'!C31+3500*(1-'4 - Financing Cost'!C12))/'2 - Standalone P&amp;L'!C19-'2 - Standalone P&amp;L'!C20)/'2 - Standalone P&amp;L'!C20</f>
        <v/>
      </c>
    </row>
    <row r="27" ht="15" customHeight="1" s="83">
      <c r="B27" s="154" t="inlineStr">
        <is>
          <t>4.0%</t>
        </is>
      </c>
      <c r="C27" s="115">
        <f>( ('2 - Standalone P&amp;L'!C17+'2 - Standalone P&amp;L'!D17-('4 - Financing Cost'!C8*0.04+'4 - Financing Cost'!C9*'4 - Financing Cost'!C11)*(1-'4 - Financing Cost'!C12)-'3 - PPA &amp; Amortisation'!C31+0*(1-'4 - Financing Cost'!C12))/'2 - Standalone P&amp;L'!C19-'2 - Standalone P&amp;L'!C20)/'2 - Standalone P&amp;L'!C20</f>
        <v/>
      </c>
      <c r="D27" s="115">
        <f>( ('2 - Standalone P&amp;L'!C17+'2 - Standalone P&amp;L'!D17-('4 - Financing Cost'!C8*0.04+'4 - Financing Cost'!C9*'4 - Financing Cost'!C11)*(1-'4 - Financing Cost'!C12)-'3 - PPA &amp; Amortisation'!C31+500*(1-'4 - Financing Cost'!C12))/'2 - Standalone P&amp;L'!C19-'2 - Standalone P&amp;L'!C20)/'2 - Standalone P&amp;L'!C20</f>
        <v/>
      </c>
      <c r="E27" s="115">
        <f>( ('2 - Standalone P&amp;L'!C17+'2 - Standalone P&amp;L'!D17-('4 - Financing Cost'!C8*0.04+'4 - Financing Cost'!C9*'4 - Financing Cost'!C11)*(1-'4 - Financing Cost'!C12)-'3 - PPA &amp; Amortisation'!C31+1000*(1-'4 - Financing Cost'!C12))/'2 - Standalone P&amp;L'!C19-'2 - Standalone P&amp;L'!C20)/'2 - Standalone P&amp;L'!C20</f>
        <v/>
      </c>
      <c r="F27" s="115">
        <f>( ('2 - Standalone P&amp;L'!C17+'2 - Standalone P&amp;L'!D17-('4 - Financing Cost'!C8*0.04+'4 - Financing Cost'!C9*'4 - Financing Cost'!C11)*(1-'4 - Financing Cost'!C12)-'3 - PPA &amp; Amortisation'!C31+1500*(1-'4 - Financing Cost'!C12))/'2 - Standalone P&amp;L'!C19-'2 - Standalone P&amp;L'!C20)/'2 - Standalone P&amp;L'!C20</f>
        <v/>
      </c>
      <c r="G27" s="115">
        <f>( ('2 - Standalone P&amp;L'!C17+'2 - Standalone P&amp;L'!D17-('4 - Financing Cost'!C8*0.04+'4 - Financing Cost'!C9*'4 - Financing Cost'!C11)*(1-'4 - Financing Cost'!C12)-'3 - PPA &amp; Amortisation'!C31+2000*(1-'4 - Financing Cost'!C12))/'2 - Standalone P&amp;L'!C19-'2 - Standalone P&amp;L'!C20)/'2 - Standalone P&amp;L'!C20</f>
        <v/>
      </c>
      <c r="H27" s="115">
        <f>( ('2 - Standalone P&amp;L'!C17+'2 - Standalone P&amp;L'!D17-('4 - Financing Cost'!C8*0.04+'4 - Financing Cost'!C9*'4 - Financing Cost'!C11)*(1-'4 - Financing Cost'!C12)-'3 - PPA &amp; Amortisation'!C31+2500*(1-'4 - Financing Cost'!C12))/'2 - Standalone P&amp;L'!C19-'2 - Standalone P&amp;L'!C20)/'2 - Standalone P&amp;L'!C20</f>
        <v/>
      </c>
      <c r="I27" s="115">
        <f>( ('2 - Standalone P&amp;L'!C17+'2 - Standalone P&amp;L'!D17-('4 - Financing Cost'!C8*0.04+'4 - Financing Cost'!C9*'4 - Financing Cost'!C11)*(1-'4 - Financing Cost'!C12)-'3 - PPA &amp; Amortisation'!C31+3500*(1-'4 - Financing Cost'!C12))/'2 - Standalone P&amp;L'!C19-'2 - Standalone P&amp;L'!C20)/'2 - Standalone P&amp;L'!C20</f>
        <v/>
      </c>
    </row>
    <row r="28" ht="15" customHeight="1" s="83">
      <c r="B28" s="154" t="inlineStr">
        <is>
          <t>4.6%</t>
        </is>
      </c>
      <c r="C28" s="115">
        <f>( ('2 - Standalone P&amp;L'!C17+'2 - Standalone P&amp;L'!D17-('4 - Financing Cost'!C8*0.046+'4 - Financing Cost'!C9*'4 - Financing Cost'!C11)*(1-'4 - Financing Cost'!C12)-'3 - PPA &amp; Amortisation'!C31+0*(1-'4 - Financing Cost'!C12))/'2 - Standalone P&amp;L'!C19-'2 - Standalone P&amp;L'!C20)/'2 - Standalone P&amp;L'!C20</f>
        <v/>
      </c>
      <c r="D28" s="115">
        <f>( ('2 - Standalone P&amp;L'!C17+'2 - Standalone P&amp;L'!D17-('4 - Financing Cost'!C8*0.046+'4 - Financing Cost'!C9*'4 - Financing Cost'!C11)*(1-'4 - Financing Cost'!C12)-'3 - PPA &amp; Amortisation'!C31+500*(1-'4 - Financing Cost'!C12))/'2 - Standalone P&amp;L'!C19-'2 - Standalone P&amp;L'!C20)/'2 - Standalone P&amp;L'!C20</f>
        <v/>
      </c>
      <c r="E28" s="115">
        <f>( ('2 - Standalone P&amp;L'!C17+'2 - Standalone P&amp;L'!D17-('4 - Financing Cost'!C8*0.046+'4 - Financing Cost'!C9*'4 - Financing Cost'!C11)*(1-'4 - Financing Cost'!C12)-'3 - PPA &amp; Amortisation'!C31+1000*(1-'4 - Financing Cost'!C12))/'2 - Standalone P&amp;L'!C19-'2 - Standalone P&amp;L'!C20)/'2 - Standalone P&amp;L'!C20</f>
        <v/>
      </c>
      <c r="F28" s="115">
        <f>( ('2 - Standalone P&amp;L'!C17+'2 - Standalone P&amp;L'!D17-('4 - Financing Cost'!C8*0.046+'4 - Financing Cost'!C9*'4 - Financing Cost'!C11)*(1-'4 - Financing Cost'!C12)-'3 - PPA &amp; Amortisation'!C31+1500*(1-'4 - Financing Cost'!C12))/'2 - Standalone P&amp;L'!C19-'2 - Standalone P&amp;L'!C20)/'2 - Standalone P&amp;L'!C20</f>
        <v/>
      </c>
      <c r="G28" s="115">
        <f>( ('2 - Standalone P&amp;L'!C17+'2 - Standalone P&amp;L'!D17-('4 - Financing Cost'!C8*0.046+'4 - Financing Cost'!C9*'4 - Financing Cost'!C11)*(1-'4 - Financing Cost'!C12)-'3 - PPA &amp; Amortisation'!C31+2000*(1-'4 - Financing Cost'!C12))/'2 - Standalone P&amp;L'!C19-'2 - Standalone P&amp;L'!C20)/'2 - Standalone P&amp;L'!C20</f>
        <v/>
      </c>
      <c r="H28" s="155">
        <f>( ('2 - Standalone P&amp;L'!C17+'2 - Standalone P&amp;L'!D17-('4 - Financing Cost'!C8*0.046+'4 - Financing Cost'!C9*'4 - Financing Cost'!C11)*(1-'4 - Financing Cost'!C12)-'3 - PPA &amp; Amortisation'!C31+2500*(1-'4 - Financing Cost'!C12))/'2 - Standalone P&amp;L'!C19-'2 - Standalone P&amp;L'!C20)/'2 - Standalone P&amp;L'!C20</f>
        <v/>
      </c>
      <c r="I28" s="115">
        <f>( ('2 - Standalone P&amp;L'!C17+'2 - Standalone P&amp;L'!D17-('4 - Financing Cost'!C8*0.046+'4 - Financing Cost'!C9*'4 - Financing Cost'!C11)*(1-'4 - Financing Cost'!C12)-'3 - PPA &amp; Amortisation'!C31+3500*(1-'4 - Financing Cost'!C12))/'2 - Standalone P&amp;L'!C19-'2 - Standalone P&amp;L'!C20)/'2 - Standalone P&amp;L'!C20</f>
        <v/>
      </c>
    </row>
    <row r="29" ht="15" customHeight="1" s="83">
      <c r="B29" s="154" t="inlineStr">
        <is>
          <t>5.5%</t>
        </is>
      </c>
      <c r="C29" s="115">
        <f>( ('2 - Standalone P&amp;L'!C17+'2 - Standalone P&amp;L'!D17-('4 - Financing Cost'!C8*0.055+'4 - Financing Cost'!C9*'4 - Financing Cost'!C11)*(1-'4 - Financing Cost'!C12)-'3 - PPA &amp; Amortisation'!C31+0*(1-'4 - Financing Cost'!C12))/'2 - Standalone P&amp;L'!C19-'2 - Standalone P&amp;L'!C20)/'2 - Standalone P&amp;L'!C20</f>
        <v/>
      </c>
      <c r="D29" s="115">
        <f>( ('2 - Standalone P&amp;L'!C17+'2 - Standalone P&amp;L'!D17-('4 - Financing Cost'!C8*0.055+'4 - Financing Cost'!C9*'4 - Financing Cost'!C11)*(1-'4 - Financing Cost'!C12)-'3 - PPA &amp; Amortisation'!C31+500*(1-'4 - Financing Cost'!C12))/'2 - Standalone P&amp;L'!C19-'2 - Standalone P&amp;L'!C20)/'2 - Standalone P&amp;L'!C20</f>
        <v/>
      </c>
      <c r="E29" s="115">
        <f>( ('2 - Standalone P&amp;L'!C17+'2 - Standalone P&amp;L'!D17-('4 - Financing Cost'!C8*0.055+'4 - Financing Cost'!C9*'4 - Financing Cost'!C11)*(1-'4 - Financing Cost'!C12)-'3 - PPA &amp; Amortisation'!C31+1000*(1-'4 - Financing Cost'!C12))/'2 - Standalone P&amp;L'!C19-'2 - Standalone P&amp;L'!C20)/'2 - Standalone P&amp;L'!C20</f>
        <v/>
      </c>
      <c r="F29" s="115">
        <f>( ('2 - Standalone P&amp;L'!C17+'2 - Standalone P&amp;L'!D17-('4 - Financing Cost'!C8*0.055+'4 - Financing Cost'!C9*'4 - Financing Cost'!C11)*(1-'4 - Financing Cost'!C12)-'3 - PPA &amp; Amortisation'!C31+1500*(1-'4 - Financing Cost'!C12))/'2 - Standalone P&amp;L'!C19-'2 - Standalone P&amp;L'!C20)/'2 - Standalone P&amp;L'!C20</f>
        <v/>
      </c>
      <c r="G29" s="115">
        <f>( ('2 - Standalone P&amp;L'!C17+'2 - Standalone P&amp;L'!D17-('4 - Financing Cost'!C8*0.055+'4 - Financing Cost'!C9*'4 - Financing Cost'!C11)*(1-'4 - Financing Cost'!C12)-'3 - PPA &amp; Amortisation'!C31+2000*(1-'4 - Financing Cost'!C12))/'2 - Standalone P&amp;L'!C19-'2 - Standalone P&amp;L'!C20)/'2 - Standalone P&amp;L'!C20</f>
        <v/>
      </c>
      <c r="H29" s="115">
        <f>( ('2 - Standalone P&amp;L'!C17+'2 - Standalone P&amp;L'!D17-('4 - Financing Cost'!C8*0.055+'4 - Financing Cost'!C9*'4 - Financing Cost'!C11)*(1-'4 - Financing Cost'!C12)-'3 - PPA &amp; Amortisation'!C31+2500*(1-'4 - Financing Cost'!C12))/'2 - Standalone P&amp;L'!C19-'2 - Standalone P&amp;L'!C20)/'2 - Standalone P&amp;L'!C20</f>
        <v/>
      </c>
      <c r="I29" s="115">
        <f>( ('2 - Standalone P&amp;L'!C17+'2 - Standalone P&amp;L'!D17-('4 - Financing Cost'!C8*0.055+'4 - Financing Cost'!C9*'4 - Financing Cost'!C11)*(1-'4 - Financing Cost'!C12)-'3 - PPA &amp; Amortisation'!C31+3500*(1-'4 - Financing Cost'!C12))/'2 - Standalone P&amp;L'!C19-'2 - Standalone P&amp;L'!C20)/'2 - Standalone P&amp;L'!C20</f>
        <v/>
      </c>
    </row>
    <row r="30" ht="15" customHeight="1" s="83">
      <c r="B30" s="154" t="inlineStr">
        <is>
          <t>6.5%</t>
        </is>
      </c>
      <c r="C30" s="115">
        <f>( ('2 - Standalone P&amp;L'!C17+'2 - Standalone P&amp;L'!D17-('4 - Financing Cost'!C8*0.065+'4 - Financing Cost'!C9*'4 - Financing Cost'!C11)*(1-'4 - Financing Cost'!C12)-'3 - PPA &amp; Amortisation'!C31+0*(1-'4 - Financing Cost'!C12))/'2 - Standalone P&amp;L'!C19-'2 - Standalone P&amp;L'!C20)/'2 - Standalone P&amp;L'!C20</f>
        <v/>
      </c>
      <c r="D30" s="115">
        <f>( ('2 - Standalone P&amp;L'!C17+'2 - Standalone P&amp;L'!D17-('4 - Financing Cost'!C8*0.065+'4 - Financing Cost'!C9*'4 - Financing Cost'!C11)*(1-'4 - Financing Cost'!C12)-'3 - PPA &amp; Amortisation'!C31+500*(1-'4 - Financing Cost'!C12))/'2 - Standalone P&amp;L'!C19-'2 - Standalone P&amp;L'!C20)/'2 - Standalone P&amp;L'!C20</f>
        <v/>
      </c>
      <c r="E30" s="115">
        <f>( ('2 - Standalone P&amp;L'!C17+'2 - Standalone P&amp;L'!D17-('4 - Financing Cost'!C8*0.065+'4 - Financing Cost'!C9*'4 - Financing Cost'!C11)*(1-'4 - Financing Cost'!C12)-'3 - PPA &amp; Amortisation'!C31+1000*(1-'4 - Financing Cost'!C12))/'2 - Standalone P&amp;L'!C19-'2 - Standalone P&amp;L'!C20)/'2 - Standalone P&amp;L'!C20</f>
        <v/>
      </c>
      <c r="F30" s="115">
        <f>( ('2 - Standalone P&amp;L'!C17+'2 - Standalone P&amp;L'!D17-('4 - Financing Cost'!C8*0.065+'4 - Financing Cost'!C9*'4 - Financing Cost'!C11)*(1-'4 - Financing Cost'!C12)-'3 - PPA &amp; Amortisation'!C31+1500*(1-'4 - Financing Cost'!C12))/'2 - Standalone P&amp;L'!C19-'2 - Standalone P&amp;L'!C20)/'2 - Standalone P&amp;L'!C20</f>
        <v/>
      </c>
      <c r="G30" s="115">
        <f>( ('2 - Standalone P&amp;L'!C17+'2 - Standalone P&amp;L'!D17-('4 - Financing Cost'!C8*0.065+'4 - Financing Cost'!C9*'4 - Financing Cost'!C11)*(1-'4 - Financing Cost'!C12)-'3 - PPA &amp; Amortisation'!C31+2000*(1-'4 - Financing Cost'!C12))/'2 - Standalone P&amp;L'!C19-'2 - Standalone P&amp;L'!C20)/'2 - Standalone P&amp;L'!C20</f>
        <v/>
      </c>
      <c r="H30" s="115">
        <f>( ('2 - Standalone P&amp;L'!C17+'2 - Standalone P&amp;L'!D17-('4 - Financing Cost'!C8*0.065+'4 - Financing Cost'!C9*'4 - Financing Cost'!C11)*(1-'4 - Financing Cost'!C12)-'3 - PPA &amp; Amortisation'!C31+2500*(1-'4 - Financing Cost'!C12))/'2 - Standalone P&amp;L'!C19-'2 - Standalone P&amp;L'!C20)/'2 - Standalone P&amp;L'!C20</f>
        <v/>
      </c>
      <c r="I30" s="115">
        <f>( ('2 - Standalone P&amp;L'!C17+'2 - Standalone P&amp;L'!D17-('4 - Financing Cost'!C8*0.065+'4 - Financing Cost'!C9*'4 - Financing Cost'!C11)*(1-'4 - Financing Cost'!C12)-'3 - PPA &amp; Amortisation'!C31+3500*(1-'4 - Financing Cost'!C12))/'2 - Standalone P&amp;L'!C19-'2 - Standalone P&amp;L'!C20)/'2 - Standalone P&amp;L'!C20</f>
        <v/>
      </c>
    </row>
    <row r="31" ht="4.5" customHeight="1" s="83"/>
    <row r="32" ht="27.75" customHeight="1" s="83">
      <c r="B32" s="156" t="inlineStr">
        <is>
          <t>Navy cell = base case. Positive % = accretive. Negative % = dilutive. Sensitivity shows how dependent the verdict is on synergy realisation — the most defensible assumption to challenge in an interview.</t>
        </is>
      </c>
    </row>
    <row r="34" ht="15.75" customHeight="1" s="83">
      <c r="B34" s="94" t="inlineStr">
        <is>
          <t xml:space="preserve">  EPS BRIDGE (Year 1) — sources of accretion / dilution</t>
        </is>
      </c>
      <c r="C34" s="95" t="n"/>
      <c r="D34" s="95" t="n"/>
      <c r="E34" s="95" t="n"/>
      <c r="F34" s="95" t="n"/>
      <c r="G34" s="95" t="n"/>
    </row>
    <row r="36" ht="15" customHeight="1" s="83">
      <c r="B36" s="157" t="inlineStr">
        <is>
          <t xml:space="preserve">  MSFT standalone EPS</t>
        </is>
      </c>
      <c r="C36" s="158">
        <f>'2 - Standalone P&amp;L'!C20</f>
        <v/>
      </c>
      <c r="D36" s="119" t="n"/>
      <c r="E36" s="119" t="n"/>
      <c r="F36" s="119" t="n"/>
      <c r="G36" s="119" t="n"/>
    </row>
    <row r="37" ht="15" customHeight="1" s="83">
      <c r="B37" s="159" t="inlineStr">
        <is>
          <t xml:space="preserve">  (+) ATVI earnings contribution</t>
        </is>
      </c>
      <c r="C37" s="160">
        <f>'2 - Standalone P&amp;L'!D17/'2 - Standalone P&amp;L'!C19</f>
        <v/>
      </c>
      <c r="D37" s="138" t="n"/>
      <c r="E37" s="138" t="n"/>
      <c r="F37" s="138" t="n"/>
      <c r="G37" s="138" t="n"/>
    </row>
    <row r="38" ht="15" customHeight="1" s="83">
      <c r="B38" s="161" t="inlineStr">
        <is>
          <t xml:space="preserve">  (−) After-tax interest expense per share</t>
        </is>
      </c>
      <c r="C38" s="162">
        <f>-'4 - Financing Cost'!D23/'2 - Standalone P&amp;L'!C19</f>
        <v/>
      </c>
      <c r="D38" s="135" t="n"/>
      <c r="E38" s="135" t="n"/>
      <c r="F38" s="135" t="n"/>
      <c r="G38" s="135" t="n"/>
    </row>
    <row r="39" ht="15" customHeight="1" s="83">
      <c r="B39" s="161" t="inlineStr">
        <is>
          <t xml:space="preserve">  (−) After-tax PPA amortisation per share</t>
        </is>
      </c>
      <c r="C39" s="162">
        <f>-'3 - PPA &amp; Amortisation'!C31/'2 - Standalone P&amp;L'!C19</f>
        <v/>
      </c>
      <c r="D39" s="135" t="n"/>
      <c r="E39" s="135" t="n"/>
      <c r="F39" s="135" t="n"/>
      <c r="G39" s="135" t="n"/>
    </row>
    <row r="40" ht="15" customHeight="1" s="83">
      <c r="B40" s="159" t="inlineStr">
        <is>
          <t xml:space="preserve">  (+) After-tax Yr1 synergies per share</t>
        </is>
      </c>
      <c r="C40" s="160">
        <f>'5 - Synergies'!D35/'2 - Standalone P&amp;L'!C19</f>
        <v/>
      </c>
      <c r="D40" s="138" t="n"/>
      <c r="E40" s="138" t="n"/>
      <c r="F40" s="138" t="n"/>
      <c r="G40" s="138" t="n"/>
    </row>
    <row r="41" ht="15" customHeight="1" s="83">
      <c r="B41" s="144" t="inlineStr">
        <is>
          <t xml:space="preserve">  = PRO FORMA EPS</t>
        </is>
      </c>
      <c r="C41" s="120">
        <f>C18</f>
        <v/>
      </c>
      <c r="D41" s="119" t="n"/>
      <c r="E41" s="119" t="n"/>
      <c r="F41" s="119" t="n"/>
      <c r="G41" s="119"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2026-06-26T03:04:42Z</dcterms:created>
  <dcterms:modified xmlns:dcterms="http://purl.org/dc/terms/" xmlns:xsi="http://www.w3.org/2001/XMLSchema-instance" xsi:type="dcterms:W3CDTF">2026-07-02T03:09:42Z</dcterms:modified>
  <cp:revision>0</cp:revision>
</cp:coreProperties>
</file>