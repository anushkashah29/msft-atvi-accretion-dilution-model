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o — One Page" sheetId="1" state="visible" r:id="rId1"/>
    <sheet xmlns:r="http://schemas.openxmlformats.org/officeDocument/2006/relationships" name="Break-even Synergy Solver" sheetId="2" state="visible" r:id="rId2"/>
    <sheet xmlns:r="http://schemas.openxmlformats.org/officeDocument/2006/relationships" name="Financing Structure Optimizer" sheetId="3" state="visible" r:id="rId3"/>
    <sheet xmlns:r="http://schemas.openxmlformats.org/officeDocument/2006/relationships" name="M&amp;A Premium Sensitivity" sheetId="4" state="visible" r:id="rId4"/>
    <sheet xmlns:r="http://schemas.openxmlformats.org/officeDocument/2006/relationships" name="Tornado — Driver Analysis" sheetId="5" state="visible" r:id="rId5"/>
    <sheet xmlns:r="http://schemas.openxmlformats.org/officeDocument/2006/relationships" name="Historical Rate Scenarios" sheetId="6" state="visible" r:id="rId6"/>
  </sheets>
  <definedNames/>
  <calcPr calcId="124519" fullCalcOnLoad="1"/>
</workbook>
</file>

<file path=xl/styles.xml><?xml version="1.0" encoding="utf-8"?>
<styleSheet xmlns="http://schemas.openxmlformats.org/spreadsheetml/2006/main">
  <numFmts count="5">
    <numFmt numFmtId="164" formatCode="$#,##0.00;&quot;($&quot;#,##0.00)\;-"/>
    <numFmt numFmtId="165" formatCode="$#,##0;&quot;($&quot;#,##0)\;-"/>
    <numFmt numFmtId="166" formatCode="0.0%;\(0.0%\)\;-"/>
    <numFmt numFmtId="167" formatCode="0.00%;\(0.00%\)\;-"/>
    <numFmt numFmtId="168" formatCode="0.0\x;\(0.0&quot;x)&quot;\;-"/>
  </numFmts>
  <fonts count="21">
    <font>
      <name val="Calibri"/>
      <family val="2"/>
      <color theme="1"/>
      <sz val="11"/>
      <scheme val="minor"/>
    </font>
    <font>
      <name val="Calibri"/>
      <b val="1"/>
      <color rgb="FFFFFFFF"/>
      <sz val="13"/>
    </font>
    <font>
      <name val="Calibri"/>
      <color rgb="FFC9A84C"/>
      <sz val="10"/>
    </font>
    <font>
      <name val="Calibri"/>
      <b val="1"/>
      <color rgb="FFFFFFFF"/>
      <sz val="10"/>
    </font>
    <font>
      <name val="Calibri"/>
      <b val="1"/>
      <color rgb="FF1B3A6B"/>
      <sz val="10"/>
    </font>
    <font>
      <name val="Calibri"/>
      <color rgb="FF5A6070"/>
      <sz val="9"/>
    </font>
    <font>
      <name val="Calibri"/>
      <color rgb="FF5A6070"/>
      <sz val="10"/>
    </font>
    <font>
      <name val="Calibri"/>
      <b val="1"/>
      <color rgb="FF633806"/>
      <sz val="10"/>
    </font>
    <font>
      <name val="Calibri"/>
      <b val="1"/>
      <color rgb="FF085041"/>
      <sz val="10"/>
    </font>
    <font>
      <name val="Calibri"/>
      <i val="1"/>
      <color rgb="FF5A6070"/>
      <sz val="9"/>
    </font>
    <font>
      <name val="Calibri"/>
      <color rgb="FF000000"/>
      <sz val="10"/>
    </font>
    <font>
      <name val="Calibri"/>
      <color rgb="FF791F1F"/>
      <sz val="10"/>
    </font>
    <font>
      <name val="Calibri"/>
      <b val="1"/>
      <color rgb="FF791F1F"/>
      <sz val="10"/>
    </font>
    <font>
      <name val="Calibri"/>
      <i val="1"/>
      <color rgb="FF5A6070"/>
      <sz val="10"/>
    </font>
    <font>
      <name val="Calibri"/>
      <color rgb="FF1B3A6B"/>
      <sz val="10"/>
    </font>
    <font>
      <name val="Calibri"/>
      <i val="1"/>
      <color rgb="FF1B3A6B"/>
      <sz val="9"/>
    </font>
    <font>
      <name val="Calibri"/>
      <color rgb="FF633806"/>
      <sz val="10"/>
    </font>
    <font>
      <name val="Calibri"/>
      <color rgb="FF1B3A6B"/>
      <sz val="9"/>
    </font>
    <font>
      <name val="Calibri"/>
      <color rgb="FF085041"/>
      <sz val="10"/>
    </font>
    <font>
      <name val="Calibri"/>
      <b val="1"/>
      <color rgb="FF085041"/>
      <sz val="9"/>
    </font>
    <font>
      <name val="Calibri"/>
      <color rgb="FFFFFFFF"/>
      <sz val="10"/>
    </font>
  </fonts>
  <fills count="10">
    <fill>
      <patternFill/>
    </fill>
    <fill>
      <patternFill patternType="gray125"/>
    </fill>
    <fill>
      <patternFill patternType="solid">
        <fgColor rgb="FF1B3A6B"/>
      </patternFill>
    </fill>
    <fill>
      <patternFill patternType="solid">
        <fgColor rgb="FFE6F1FB"/>
      </patternFill>
    </fill>
    <fill>
      <patternFill patternType="solid">
        <fgColor rgb="FFFAEEDA"/>
      </patternFill>
    </fill>
    <fill>
      <patternFill patternType="solid">
        <fgColor rgb="FFEBF5EE"/>
      </patternFill>
    </fill>
    <fill>
      <patternFill patternType="solid">
        <fgColor rgb="FFF4F5F7"/>
      </patternFill>
    </fill>
    <fill>
      <patternFill patternType="solid">
        <fgColor rgb="FFFCEBEB"/>
      </patternFill>
    </fill>
    <fill>
      <patternFill patternType="solid">
        <fgColor rgb="FFEAF3DE"/>
      </patternFill>
    </fill>
    <fill>
      <patternFill patternType="solid">
        <fgColor rgb="FF2A4F8A"/>
      </patternFill>
    </fill>
  </fills>
  <borders count="2">
    <border>
      <left/>
      <right/>
      <top/>
      <bottom/>
      <diagonal/>
    </border>
    <border>
      <bottom style="medium">
        <color rgb="FF1B3A6B"/>
      </bottom>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0" fillId="0" borderId="1" pivotButton="0" quotePrefix="0" xfId="0"/>
    <xf numFmtId="0" fontId="3" fillId="2" borderId="0" applyAlignment="1" pivotButton="0" quotePrefix="0" xfId="0">
      <alignment horizontal="left" vertical="center"/>
    </xf>
    <xf numFmtId="0" fontId="4" fillId="3" borderId="0" applyAlignment="1" pivotButton="0" quotePrefix="0" xfId="0">
      <alignment horizontal="left" vertical="center" wrapText="1"/>
    </xf>
    <xf numFmtId="0" fontId="5" fillId="0" borderId="0" applyAlignment="1" pivotButton="0" quotePrefix="0" xfId="0">
      <alignment horizontal="left" vertical="center" wrapText="1"/>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7" fillId="4" borderId="0" applyAlignment="1" pivotButton="0" quotePrefix="0" xfId="0">
      <alignment horizontal="left" vertical="center"/>
    </xf>
    <xf numFmtId="0" fontId="8" fillId="5" borderId="0" applyAlignment="1" pivotButton="0" quotePrefix="0" xfId="0">
      <alignment horizontal="left" vertical="center"/>
    </xf>
    <xf numFmtId="0" fontId="9" fillId="0" borderId="0" applyAlignment="1" pivotButton="0" quotePrefix="0" xfId="0">
      <alignment horizontal="left" vertical="center" wrapText="1"/>
    </xf>
    <xf numFmtId="0" fontId="4" fillId="6" borderId="0" applyAlignment="1" pivotButton="0" quotePrefix="0" xfId="0">
      <alignment horizontal="left" vertical="center"/>
    </xf>
    <xf numFmtId="164" fontId="4" fillId="3" borderId="0" applyAlignment="1" pivotButton="0" quotePrefix="0" xfId="0">
      <alignment horizontal="right" vertical="center"/>
    </xf>
    <xf numFmtId="165" fontId="10" fillId="0" borderId="0" applyAlignment="1" pivotButton="0" quotePrefix="0" xfId="0">
      <alignment horizontal="right" vertical="center"/>
    </xf>
    <xf numFmtId="165" fontId="11" fillId="7" borderId="0" applyAlignment="1" pivotButton="0" quotePrefix="0" xfId="0">
      <alignment horizontal="right" vertical="center"/>
    </xf>
    <xf numFmtId="164" fontId="12" fillId="7" borderId="0" applyAlignment="1" pivotButton="0" quotePrefix="0" xfId="0">
      <alignment horizontal="righ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165" fontId="7" fillId="4" borderId="0" applyAlignment="1" pivotButton="0" quotePrefix="0" xfId="0">
      <alignment horizontal="right" vertical="center"/>
    </xf>
    <xf numFmtId="166" fontId="8" fillId="8" borderId="0" applyAlignment="1" pivotButton="0" quotePrefix="0" xfId="0">
      <alignment horizontal="right" vertical="center"/>
    </xf>
    <xf numFmtId="0" fontId="15" fillId="0" borderId="0" applyAlignment="1" pivotButton="0" quotePrefix="0" xfId="0">
      <alignment horizontal="left" vertical="center" wrapText="1"/>
    </xf>
    <xf numFmtId="0" fontId="3" fillId="9" borderId="0" applyAlignment="1" pivotButton="0" quotePrefix="0" xfId="0">
      <alignment horizontal="left" vertical="center"/>
    </xf>
    <xf numFmtId="0" fontId="3" fillId="9" borderId="0" applyAlignment="1" pivotButton="0" quotePrefix="0" xfId="0">
      <alignment horizontal="right" vertical="center"/>
    </xf>
    <xf numFmtId="166" fontId="10" fillId="0" borderId="0" applyAlignment="1" pivotButton="0" quotePrefix="0" xfId="0">
      <alignment horizontal="right" vertical="center"/>
    </xf>
    <xf numFmtId="166" fontId="8" fillId="4" borderId="0" applyAlignment="1" pivotButton="0" quotePrefix="0" xfId="0">
      <alignment horizontal="right" vertical="center"/>
    </xf>
    <xf numFmtId="165" fontId="7" fillId="8" borderId="0" applyAlignment="1" pivotButton="0" quotePrefix="0" xfId="0">
      <alignment horizontal="right" vertical="center"/>
    </xf>
    <xf numFmtId="165" fontId="14" fillId="0" borderId="0" applyAlignment="1" pivotButton="0" quotePrefix="0" xfId="0">
      <alignment horizontal="left" vertical="center"/>
    </xf>
    <xf numFmtId="164" fontId="10" fillId="0" borderId="0" applyAlignment="1" pivotButton="0" quotePrefix="0" xfId="0">
      <alignment horizontal="right" vertical="center"/>
    </xf>
    <xf numFmtId="165" fontId="7" fillId="4" borderId="0" applyAlignment="1" pivotButton="0" quotePrefix="0" xfId="0">
      <alignment horizontal="left" vertical="center"/>
    </xf>
    <xf numFmtId="165" fontId="16" fillId="4" borderId="0" applyAlignment="1" pivotButton="0" quotePrefix="0" xfId="0">
      <alignment horizontal="right" vertical="center"/>
    </xf>
    <xf numFmtId="164" fontId="16" fillId="4" borderId="0" applyAlignment="1" pivotButton="0" quotePrefix="0" xfId="0">
      <alignment horizontal="right" vertical="center"/>
    </xf>
    <xf numFmtId="165" fontId="3" fillId="2" borderId="0" applyAlignment="1" pivotButton="0" quotePrefix="0" xfId="0">
      <alignment horizontal="left" vertical="center"/>
    </xf>
    <xf numFmtId="165" fontId="3" fillId="2" borderId="0" applyAlignment="1" pivotButton="0" quotePrefix="0" xfId="0">
      <alignment horizontal="right" vertical="center"/>
    </xf>
    <xf numFmtId="164" fontId="3" fillId="2" borderId="0" applyAlignment="1" pivotButton="0" quotePrefix="0" xfId="0">
      <alignment horizontal="right" vertical="center"/>
    </xf>
    <xf numFmtId="0" fontId="17" fillId="0" borderId="0" applyAlignment="1" pivotButton="0" quotePrefix="0" xfId="0">
      <alignment horizontal="left" vertical="center" wrapText="1"/>
    </xf>
    <xf numFmtId="166" fontId="3" fillId="2" borderId="0" applyAlignment="1" pivotButton="0" quotePrefix="0" xfId="0">
      <alignment horizontal="left" vertical="center"/>
    </xf>
    <xf numFmtId="167" fontId="3" fillId="2" borderId="0" applyAlignment="1" pivotButton="0" quotePrefix="0" xfId="0">
      <alignment horizontal="right" vertical="center"/>
    </xf>
    <xf numFmtId="166" fontId="10" fillId="0" borderId="0" applyAlignment="1" pivotButton="0" quotePrefix="0" xfId="0">
      <alignment horizontal="left" vertical="center"/>
    </xf>
    <xf numFmtId="167" fontId="18" fillId="8" borderId="0" applyAlignment="1" pivotButton="0" quotePrefix="0" xfId="0">
      <alignment horizontal="right" vertical="center"/>
    </xf>
    <xf numFmtId="168" fontId="4" fillId="6" borderId="0" applyAlignment="1" pivotButton="0" quotePrefix="0" xfId="0">
      <alignment horizontal="right" vertical="center"/>
    </xf>
    <xf numFmtId="165" fontId="4" fillId="6" borderId="0" applyAlignment="1" pivotButton="0" quotePrefix="0" xfId="0">
      <alignment horizontal="right" vertical="center"/>
    </xf>
    <xf numFmtId="0" fontId="16" fillId="4" borderId="0" applyAlignment="1" pivotButton="0" quotePrefix="0" xfId="0">
      <alignment horizontal="left" vertical="center"/>
    </xf>
    <xf numFmtId="166" fontId="16" fillId="4" borderId="0" applyAlignment="1" pivotButton="0" quotePrefix="0" xfId="0">
      <alignment horizontal="right" vertical="center"/>
    </xf>
    <xf numFmtId="164" fontId="18" fillId="8" borderId="0" applyAlignment="1" pivotButton="0" quotePrefix="0" xfId="0">
      <alignment horizontal="right" vertical="center"/>
    </xf>
    <xf numFmtId="166" fontId="3" fillId="2" borderId="0" applyAlignment="1" pivotButton="0" quotePrefix="0" xfId="0">
      <alignment horizontal="right" vertical="center"/>
    </xf>
    <xf numFmtId="0" fontId="11" fillId="7" borderId="0" applyAlignment="1" pivotButton="0" quotePrefix="0" xfId="0">
      <alignment horizontal="left" vertical="center"/>
    </xf>
    <xf numFmtId="166" fontId="11" fillId="7" borderId="0" applyAlignment="1" pivotButton="0" quotePrefix="0" xfId="0">
      <alignment horizontal="right" vertical="center"/>
    </xf>
    <xf numFmtId="164" fontId="11" fillId="7" borderId="0" applyAlignment="1" pivotButton="0" quotePrefix="0" xfId="0">
      <alignment horizontal="right" vertical="center"/>
    </xf>
    <xf numFmtId="167" fontId="11" fillId="7" borderId="0" applyAlignment="1" pivotButton="0" quotePrefix="0" xfId="0">
      <alignment horizontal="right" vertical="center"/>
    </xf>
    <xf numFmtId="0" fontId="19" fillId="5" borderId="0" applyAlignment="1" pivotButton="0" quotePrefix="0" xfId="0">
      <alignment horizontal="left" vertical="center" wrapText="1"/>
    </xf>
    <xf numFmtId="0" fontId="4" fillId="3" borderId="0" applyAlignment="1" pivotButton="0" quotePrefix="0" xfId="0">
      <alignment horizontal="left" vertical="center"/>
    </xf>
    <xf numFmtId="164" fontId="8" fillId="8" borderId="0" applyAlignment="1" pivotButton="0" quotePrefix="0" xfId="0">
      <alignment horizontal="right" vertical="center"/>
    </xf>
    <xf numFmtId="164" fontId="7" fillId="4" borderId="0" applyAlignment="1" pivotButton="0" quotePrefix="0" xfId="0">
      <alignment horizontal="right" vertical="center"/>
    </xf>
    <xf numFmtId="167" fontId="4" fillId="3" borderId="0" applyAlignment="1" pivotButton="0" quotePrefix="0" xfId="0">
      <alignment horizontal="right" vertical="center"/>
    </xf>
    <xf numFmtId="167" fontId="10" fillId="0" borderId="0" applyAlignment="1" pivotButton="0" quotePrefix="0" xfId="0">
      <alignment horizontal="right" vertical="center"/>
    </xf>
    <xf numFmtId="167" fontId="7" fillId="4" borderId="0" applyAlignment="1" pivotButton="0" quotePrefix="0" xfId="0">
      <alignment horizontal="right" vertical="center"/>
    </xf>
    <xf numFmtId="166" fontId="7" fillId="4" borderId="0" applyAlignment="1" pivotButton="0" quotePrefix="0" xfId="0">
      <alignment horizontal="right" vertical="center"/>
    </xf>
    <xf numFmtId="0" fontId="8" fillId="8" borderId="0" applyAlignment="1" pivotButton="0" quotePrefix="0" xfId="0">
      <alignment horizontal="left" vertical="center"/>
    </xf>
    <xf numFmtId="0" fontId="20" fillId="2" borderId="0" applyAlignment="1" pivotButton="0" quotePrefix="0" xfId="0">
      <alignment horizontal="left" vertical="center"/>
    </xf>
    <xf numFmtId="166" fontId="20" fillId="2" borderId="0" applyAlignment="1" pivotButton="0" quotePrefix="0" xfId="0">
      <alignment horizontal="right" vertical="center"/>
    </xf>
    <xf numFmtId="0" fontId="10" fillId="0" borderId="0" applyAlignment="1" pivotButton="0" quotePrefix="0" xfId="0">
      <alignment horizontal="left" vertical="center"/>
    </xf>
    <xf numFmtId="0" fontId="18" fillId="8"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Tornado: Year-1 EPS Swing by Driver (Low → High)</a:t>
            </a:r>
          </a:p>
        </rich>
      </tx>
    </title>
    <plotArea>
      <barChart>
        <barDir val="bar"/>
        <grouping val="clustered"/>
        <ser>
          <idx val="0"/>
          <order val="0"/>
          <spPr>
            <a:ln xmlns:a="http://schemas.openxmlformats.org/drawingml/2006/main">
              <a:prstDash val="solid"/>
            </a:ln>
          </spPr>
          <cat>
            <numRef>
              <f>'Tornado — Driver Analysis'!$B$8:$B$14</f>
            </numRef>
          </cat>
          <val>
            <numRef>
              <f>'Tornado — Driver Analysis'!$H$8:$H$14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EPS Swing ($)</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Driver</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27</row>
      <rowOff>0</rowOff>
    </from>
    <ext cx="792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C9A84C"/>
    <outlinePr summaryBelow="1" summaryRight="1"/>
    <pageSetUpPr/>
  </sheetPr>
  <dimension ref="B2:D44"/>
  <sheetViews>
    <sheetView workbookViewId="0">
      <selection activeCell="A1" sqref="A1"/>
    </sheetView>
  </sheetViews>
  <sheetFormatPr baseColWidth="8" defaultRowHeight="15"/>
  <cols>
    <col width="2" customWidth="1" min="1" max="1"/>
    <col width="28" customWidth="1" min="2" max="2"/>
    <col width="60" customWidth="1" min="3" max="3"/>
    <col width="18" customWidth="1" min="4" max="4"/>
  </cols>
  <sheetData>
    <row r="2">
      <c r="B2" s="1" t="inlineStr">
        <is>
          <t>TRANSACTION MEMO: MICROSOFT CORPORATION / ACTIVISION BLIZZARD, INC.</t>
        </is>
      </c>
    </row>
    <row r="3">
      <c r="B3" s="2" t="inlineStr">
        <is>
          <t>Confidential  |  October 2023  |  $68.7 Billion All-Cash Acquisition  |  Accretion / Dilution Analysis</t>
        </is>
      </c>
    </row>
    <row r="4">
      <c r="B4" s="3" t="n"/>
      <c r="C4" s="3" t="n"/>
      <c r="D4" s="3" t="n"/>
    </row>
    <row r="5" ht="21.75" customHeight="1"/>
    <row r="6">
      <c r="B6" s="4" t="inlineStr">
        <is>
          <t xml:space="preserve">  I.  STRATEGIC RATIONALE</t>
        </is>
      </c>
    </row>
    <row r="8" ht="18" customHeight="1">
      <c r="B8" s="5" t="inlineStr">
        <is>
          <t xml:space="preserve">  Content Moat &amp; Game Pass Acceleration</t>
        </is>
      </c>
    </row>
    <row r="9" ht="42" customHeight="1">
      <c r="B9" s="6" t="inlineStr">
        <is>
          <t>Activision's Call of Duty, World of Warcraft, Overwatch, and Candy Crush add 17 of the top-25 gaming franchises by revenue to Microsoft's Game Pass subscription. This materially strengthens the value proposition of Xbox's recurring revenue model and accelerates subscriber growth — addressing the single biggest strategic gap in Microsoft's gaming P&amp;L.</t>
        </is>
      </c>
    </row>
    <row r="10" ht="18" customHeight="1">
      <c r="B10" s="5" t="inlineStr">
        <is>
          <t xml:space="preserve">  Mobile Platform Establishment (King / Candy Crush)</t>
        </is>
      </c>
    </row>
    <row r="11" ht="42" customHeight="1">
      <c r="B11" s="6" t="inlineStr">
        <is>
          <t>Mobile is the largest gaming platform by revenue (~$100B/yr) and the one where Microsoft had zero presence. King's 300M+ monthly active users and $2.5B in annual mobile revenue provide immediate scale, distribution, and data to build a mobile gaming flywheel alongside Azure cloud services.</t>
        </is>
      </c>
    </row>
    <row r="12" ht="18" customHeight="1">
      <c r="B12" s="5" t="inlineStr">
        <is>
          <t xml:space="preserve">  Competitive Defense vs. Sony, Apple &amp; Google</t>
        </is>
      </c>
    </row>
    <row r="13" ht="42" customHeight="1">
      <c r="B13" s="6" t="inlineStr">
        <is>
          <t>The deal preempts Sony from locking up CoD exclusivity on PlayStation — a title generating &gt;$3B in annual revenue. It also positions Microsoft to compete for gaming wallet share against Apple Arcade and Google's cloud gaming ambitions, using ATVI IP to drive engagement on Azure and Windows.</t>
        </is>
      </c>
    </row>
    <row r="15">
      <c r="B15" s="4" t="inlineStr">
        <is>
          <t xml:space="preserve">  II.  DEAL STRUCTURE</t>
        </is>
      </c>
    </row>
    <row r="16" ht="15.75" customHeight="1">
      <c r="B16" s="7" t="inlineStr">
        <is>
          <t xml:space="preserve">  Purchase Price</t>
        </is>
      </c>
      <c r="C16" s="8" t="inlineStr">
        <is>
          <t>$95.00/share  |  $68.7B equity value  |  ~45% premium to $65.50 unaffected price</t>
        </is>
      </c>
    </row>
    <row r="17" ht="15.75" customHeight="1">
      <c r="B17" s="7" t="inlineStr">
        <is>
          <t xml:space="preserve">  Total Deal Cost</t>
        </is>
      </c>
      <c r="C17" s="8" t="inlineStr">
        <is>
          <t>$70.5B (equity $68.7B + advisory/financing fees $0.8B + ATVI net debt $1.0B)</t>
        </is>
      </c>
    </row>
    <row r="18" ht="15.75" customHeight="1">
      <c r="B18" s="7" t="inlineStr">
        <is>
          <t xml:space="preserve">  Consideration</t>
        </is>
      </c>
      <c r="C18" s="8" t="inlineStr">
        <is>
          <t>100% all-cash — zero new MSFT shares issued; EPS denominator fixed at 7,434M shares</t>
        </is>
      </c>
    </row>
    <row r="19" ht="15.75" customHeight="1">
      <c r="B19" s="7" t="inlineStr">
        <is>
          <t xml:space="preserve">  Financing Mix</t>
        </is>
      </c>
      <c r="C19" s="8" t="inlineStr">
        <is>
          <t>$20B MSFT balance sheet cash  +  $35B LT bonds  +  $10B MTNs  +  $5.5B commercial paper</t>
        </is>
      </c>
    </row>
    <row r="20" ht="15.75" customHeight="1">
      <c r="B20" s="7" t="inlineStr">
        <is>
          <t xml:space="preserve">  Credit Quality</t>
        </is>
      </c>
      <c r="C20" s="8" t="inlineStr">
        <is>
          <t>MSFT Aaa/AAA rated — issued at tight IG spreads; blended new-debt rate ~4.6%</t>
        </is>
      </c>
    </row>
    <row r="21" ht="15.75" customHeight="1">
      <c r="B21" s="7" t="inlineStr">
        <is>
          <t xml:space="preserve">  Announcement → Close</t>
        </is>
      </c>
      <c r="C21" s="8" t="inlineStr">
        <is>
          <t>January 18, 2022  →  October 13, 2023 (21 months; FTC litigation delayed close)</t>
        </is>
      </c>
    </row>
    <row r="22" ht="15.75" customHeight="1">
      <c r="B22" s="7" t="inlineStr">
        <is>
          <t xml:space="preserve">  PPA / Goodwill</t>
        </is>
      </c>
      <c r="C22" s="8" t="inlineStr">
        <is>
          <t>~$16B to identified intangibles (amortised); ~$46B to goodwill (not amortised, tested annually)</t>
        </is>
      </c>
    </row>
    <row r="24">
      <c r="B24" s="4" t="inlineStr">
        <is>
          <t xml:space="preserve">  III.  FINANCIAL VERDICT (BASE CASE)</t>
        </is>
      </c>
    </row>
    <row r="25" ht="18" customHeight="1">
      <c r="B25" s="9" t="inlineStr">
        <is>
          <t xml:space="preserve">  EPS Bridge (Year 1)</t>
        </is>
      </c>
    </row>
    <row r="26" ht="38" customHeight="1">
      <c r="B26" s="6" t="inlineStr">
        <is>
          <t>MSFT standalone EPS $10.29  +ATVI contribution +$0.48  −Financing cost −$0.35  −PPA amort −$0.21  +Yr1 synergies +$0.09  = Pro Forma EPS ~$10.29  →  +0.06% accretion</t>
        </is>
      </c>
    </row>
    <row r="27" ht="18" customHeight="1">
      <c r="B27" s="9" t="inlineStr">
        <is>
          <t xml:space="preserve">  3-Year Trajectory</t>
        </is>
      </c>
    </row>
    <row r="28" ht="38" customHeight="1">
      <c r="B28" s="6" t="inlineStr">
        <is>
          <t>Year 1: +0.1% accretive  |  Year 2: +0.7% accretive  |  Year 3: +1.4% accretive (synergy ramp: 40% → 70% → 100% of $2.1B run-rate)</t>
        </is>
      </c>
    </row>
    <row r="29" ht="18" customHeight="1">
      <c r="B29" s="9" t="inlineStr">
        <is>
          <t xml:space="preserve">  Primary Headwinds</t>
        </is>
      </c>
    </row>
    <row r="30" ht="38" customHeight="1">
      <c r="B30" s="6" t="inlineStr">
        <is>
          <t>$2.6B after-tax annual interest expense (−$0.35/share)  +  $1.6B after-tax PPA amortization (−$0.21/share)  =  −$0.56/share drag</t>
        </is>
      </c>
    </row>
    <row r="31" ht="18" customHeight="1">
      <c r="B31" s="9" t="inlineStr">
        <is>
          <t xml:space="preserve">  Primary Offsets</t>
        </is>
      </c>
    </row>
    <row r="32" ht="38" customHeight="1">
      <c r="B32" s="6" t="inlineStr">
        <is>
          <t>$3.6B ATVI acquired net income (+$0.48/share)  +  $682M after-tax Yr1 synergies (+$0.09/share)  =  +$0.57/share; net +$0.01 accretive Year 1</t>
        </is>
      </c>
    </row>
    <row r="33" ht="18" customHeight="1">
      <c r="B33" s="9" t="inlineStr">
        <is>
          <t xml:space="preserve">  Financial Conclusion</t>
        </is>
      </c>
    </row>
    <row r="34" ht="38" customHeight="1">
      <c r="B34" s="6" t="inlineStr">
        <is>
          <t>Deal makes financial sense at base case — positive accretion from Day 1, reaching +1.4% by Year 3. Verdict is synergy-dependent: without synergies the deal is ~−0.6% dilutive. Cost synergies ($1.1B, Azure migration + headcount) are high-confidence and within Microsoft's control — these alone cover ~70% of the break-even threshold.</t>
        </is>
      </c>
    </row>
    <row r="36">
      <c r="B36" s="4" t="inlineStr">
        <is>
          <t xml:space="preserve">  IV.  ANALYTICAL QUESTIONS</t>
        </is>
      </c>
    </row>
    <row r="37" ht="18" customHeight="1">
      <c r="B37" s="10" t="inlineStr">
        <is>
          <t xml:space="preserve">  Q1: Minimum synergy for EPS accretion?</t>
        </is>
      </c>
    </row>
    <row r="38" ht="50" customHeight="1">
      <c r="B38" s="6" t="inlineStr">
        <is>
          <t>Break-even requires ~$779M in pre-tax run-rate synergies ($633M after-tax). At the 40% Year-1 ramp, run-rate must be ≥$1,948M for Year 1 accretion. Base case ($2,100M) sits 63% above break-even — a significant safety margin. Cost synergies alone ($1,100M) fall just above the break-even; revenue synergies provide the upside. See Tab: Break-even Solver.</t>
        </is>
      </c>
    </row>
    <row r="39" ht="18" customHeight="1">
      <c r="B39" s="10" t="inlineStr">
        <is>
          <t xml:space="preserve">  Q2: How do financing &amp; purchase price affect A/D?</t>
        </is>
      </c>
    </row>
    <row r="40" ht="50" customHeight="1">
      <c r="B40" s="6" t="inlineStr">
        <is>
          <t>Financing: A 1pp rise in blended debt rate shifts Year-1 EPS by ~−$0.07/share. Moving from all-debt to 50% equity financing improves Year-1 EPS by +$0.02/share because MSFT's implied earnings yield (3.1%) &lt; after-tax debt cost (3.7%) — making equity 'cheaper' from an EPS standpoint, despite diluting share count. Purchase price: each $5/share increase above $95 adds ~$167M of new debt and costs ~$0.018/share in EPS drag. Break-even price = ~$96.70/share (base synergies). See Tabs: Financing Optimizer &amp; Premium Sensitivity.</t>
        </is>
      </c>
    </row>
    <row r="41" ht="18" customHeight="1">
      <c r="B41" s="10" t="inlineStr">
        <is>
          <t xml:space="preserve">  Q3: Primary drivers of transaction value &amp; risk?</t>
        </is>
      </c>
    </row>
    <row r="42" ht="50" customHeight="1">
      <c r="B42" s="6" t="inlineStr">
        <is>
          <t>Ranked by EPS sensitivity (Year 1 accretion swing): (1) Interest rate on debt [±$0.19/share] — largest single driver, reflects macro risk; (2) Purchase price paid [±$0.14/share] — negotiation leverage matters enormously; (3) PPA amortization life [±$0.14/share] — auditor/regulator judgment on intangible lives; (4) Run-rate synergies [±$0.12/share] — most defensible to challenge; (5) Cash opportunity cost [±$0.07/share]; (6) Effective tax rate [±$0.06/share]. Synergy realization is the #1 qualitative risk — especially revenue synergies (50% haircut applied). See Tab: Tornado / Driver Analysis.</t>
        </is>
      </c>
    </row>
    <row r="44">
      <c r="B44" s="11" t="inlineStr">
        <is>
          <t>This memo is supported by five quantitative modules: Break-even Solver | Financing Optimizer | Premium Sensitivity | Tornado/Driver Analysis | Historical Rate Scenarios</t>
        </is>
      </c>
    </row>
  </sheetData>
  <mergeCells count="29">
    <mergeCell ref="B11:D11"/>
    <mergeCell ref="B42:D42"/>
    <mergeCell ref="B8:D8"/>
    <mergeCell ref="B13:D13"/>
    <mergeCell ref="B44:D44"/>
    <mergeCell ref="B29:D29"/>
    <mergeCell ref="B38:D38"/>
    <mergeCell ref="B34:D34"/>
    <mergeCell ref="B10:D10"/>
    <mergeCell ref="B28:D28"/>
    <mergeCell ref="B37:D37"/>
    <mergeCell ref="B40:D40"/>
    <mergeCell ref="B9:D9"/>
    <mergeCell ref="B30:D30"/>
    <mergeCell ref="B15:D15"/>
    <mergeCell ref="B6:D6"/>
    <mergeCell ref="B24:D24"/>
    <mergeCell ref="B33:D33"/>
    <mergeCell ref="B36:D36"/>
    <mergeCell ref="B41:D41"/>
    <mergeCell ref="B32:D32"/>
    <mergeCell ref="B26:D26"/>
    <mergeCell ref="B25:D25"/>
    <mergeCell ref="B3:D3"/>
    <mergeCell ref="B31:D31"/>
    <mergeCell ref="B27:D27"/>
    <mergeCell ref="B12:D12"/>
    <mergeCell ref="B39:D39"/>
    <mergeCell ref="B2:D2"/>
  </mergeCells>
  <pageMargins left="0.75" right="0.75" top="1" bottom="1" header="0.5" footer="0.5"/>
</worksheet>
</file>

<file path=xl/worksheets/sheet2.xml><?xml version="1.0" encoding="utf-8"?>
<worksheet xmlns="http://schemas.openxmlformats.org/spreadsheetml/2006/main">
  <sheetPr>
    <tabColor rgb="003B6D11"/>
    <outlinePr summaryBelow="1" summaryRight="1"/>
    <pageSetUpPr/>
  </sheetPr>
  <dimension ref="B2:H37"/>
  <sheetViews>
    <sheetView workbookViewId="0">
      <selection activeCell="A1" sqref="A1"/>
    </sheetView>
  </sheetViews>
  <sheetFormatPr baseColWidth="8" defaultRowHeight="15"/>
  <cols>
    <col width="2" customWidth="1" min="1" max="1"/>
    <col width="38" customWidth="1" min="2" max="2"/>
    <col width="14" customWidth="1" min="3" max="3"/>
    <col width="14" customWidth="1" min="4" max="4"/>
    <col width="14" customWidth="1" min="5" max="5"/>
    <col width="14" customWidth="1" min="6" max="6"/>
    <col width="14" customWidth="1" min="7" max="7"/>
    <col width="38" customWidth="1" min="8" max="8"/>
  </cols>
  <sheetData>
    <row r="1" ht="15.75" customHeight="1"/>
    <row r="2" ht="15.75" customHeight="1">
      <c r="B2" s="1" t="inlineStr">
        <is>
          <t>BREAK-EVEN SYNERGY SOLVER</t>
        </is>
      </c>
    </row>
    <row r="3" ht="15.75" customHeight="1">
      <c r="B3" s="2" t="inlineStr">
        <is>
          <t>What minimum run-rate synergy is required for the acquisition to be EPS accretive?</t>
        </is>
      </c>
    </row>
    <row r="4" ht="15.75" customHeight="1"/>
    <row r="5" ht="21.75" customHeight="1">
      <c r="B5" s="12" t="inlineStr">
        <is>
          <t xml:space="preserve">  PART 1: BREAK-EVEN DERIVATION</t>
        </is>
      </c>
    </row>
    <row r="6" ht="15.75" customHeight="1">
      <c r="B6" s="7" t="inlineStr">
        <is>
          <t>MSFT standalone EPS (baseline to beat)</t>
        </is>
      </c>
      <c r="C6" s="13" t="n">
        <v>10.28665590529997</v>
      </c>
    </row>
    <row r="7" ht="15.75" customHeight="1">
      <c r="B7" s="8" t="inlineStr">
        <is>
          <t xml:space="preserve">  (+) ATVI acquired net income ($M)</t>
        </is>
      </c>
      <c r="C7" s="14" t="n">
        <v>3572</v>
      </c>
    </row>
    <row r="8" ht="15.75" customHeight="1">
      <c r="B8" s="8" t="inlineStr">
        <is>
          <t xml:space="preserve">  (−) After-tax financing cost ($M)</t>
        </is>
      </c>
      <c r="C8" s="15" t="n">
        <v>-2615.95544</v>
      </c>
    </row>
    <row r="9" ht="15.75" customHeight="1">
      <c r="B9" s="8" t="inlineStr">
        <is>
          <t xml:space="preserve">  (−) After-tax PPA amortization ($M)</t>
        </is>
      </c>
      <c r="C9" s="15" t="n">
        <v>-1588.813333333334</v>
      </c>
    </row>
    <row r="10" ht="15.75" customHeight="1">
      <c r="B10" s="7" t="inlineStr">
        <is>
          <t xml:space="preserve">  Net EPS drag before synergies ($/share)</t>
        </is>
      </c>
      <c r="C10" s="16" t="n">
        <v>-0.08511821002600668</v>
      </c>
    </row>
    <row r="11" ht="15.75" customHeight="1"/>
    <row r="12" ht="15.75" customHeight="1">
      <c r="B12" s="7" t="inlineStr">
        <is>
          <t xml:space="preserve">  Break-even: Pro Forma NI must equal MSFT Standalone NI</t>
        </is>
      </c>
    </row>
    <row r="13" ht="15.75" customHeight="1">
      <c r="B13" s="17" t="inlineStr">
        <is>
          <t xml:space="preserve">  After-tax drag = ATVI NI − AT financing − AT PPA amort</t>
        </is>
      </c>
    </row>
    <row r="14" ht="15.75" customHeight="1">
      <c r="B14" s="18" t="inlineStr">
        <is>
          <t xml:space="preserve">  After-tax break-even synergy ($M)</t>
        </is>
      </c>
      <c r="C14" s="19" t="n">
        <v>632.7687733333332</v>
      </c>
      <c r="H14" s="11">
        <f> AT financing (2,616) + AT PPA (1,589) − ATVI NI (3,572)</f>
        <v/>
      </c>
    </row>
    <row r="15" ht="15.75" customHeight="1">
      <c r="B15" s="18" t="inlineStr">
        <is>
          <t xml:space="preserve">  Pre-tax break-even synergy ($M)</t>
        </is>
      </c>
      <c r="C15" s="19" t="n">
        <v>779.2718883415433</v>
      </c>
      <c r="H15" s="11">
        <f> AT break-even / (1 − 18.8% tax) = 633 / 0.812</f>
        <v/>
      </c>
    </row>
    <row r="16" ht="15.75" customHeight="1">
      <c r="B16" s="18" t="inlineStr">
        <is>
          <t xml:space="preserve">  Base-case synergies ($2,100M) margin of safety</t>
        </is>
      </c>
      <c r="C16" s="20" t="n">
        <v>0.6289181484087889</v>
      </c>
      <c r="H16" s="11">
        <f> (Base $2,100M − Break-even) / Base. How far synergies can fall before deal turns dilutive.</f>
        <v/>
      </c>
    </row>
    <row r="17" ht="15.75" customHeight="1"/>
    <row r="18" ht="15.75" customHeight="1">
      <c r="B18" s="12" t="inlineStr">
        <is>
          <t xml:space="preserve">  PART 2: REQUIRED RUN-RATE SYNERGY BY YEAR</t>
        </is>
      </c>
    </row>
    <row r="19" ht="15.75" customHeight="1">
      <c r="B19" s="21" t="inlineStr">
        <is>
          <t>Because synergies ramp (40% Yr1 → 70% Yr2 → 100% Yr3), a higher run-rate is needed in early years for each year to be accretive in isolation.</t>
        </is>
      </c>
    </row>
    <row r="20" ht="15.75" customHeight="1">
      <c r="B20" s="22" t="inlineStr">
        <is>
          <t>Year</t>
        </is>
      </c>
      <c r="C20" s="23" t="inlineStr">
        <is>
          <t>Ramp %</t>
        </is>
      </c>
      <c r="D20" s="23" t="inlineStr">
        <is>
          <t>Required Run-Rate ($M)</t>
        </is>
      </c>
      <c r="E20" s="23" t="inlineStr">
        <is>
          <t>Base Case ($M)</t>
        </is>
      </c>
      <c r="F20" s="23" t="inlineStr">
        <is>
          <t>Safety Margin</t>
        </is>
      </c>
      <c r="G20" s="23" t="inlineStr">
        <is>
          <t>Assessment</t>
        </is>
      </c>
    </row>
    <row r="21" ht="15.75" customHeight="1">
      <c r="B21" s="7" t="inlineStr">
        <is>
          <t xml:space="preserve">  Year 1</t>
        </is>
      </c>
      <c r="C21" s="24" t="n">
        <v>0.4</v>
      </c>
      <c r="D21" s="19" t="n">
        <v>1948.179720853858</v>
      </c>
      <c r="E21" s="14" t="n">
        <v>2100</v>
      </c>
      <c r="F21" s="25" t="n">
        <v>0.07229537102197225</v>
      </c>
      <c r="G21" s="17" t="inlineStr">
        <is>
          <t>Requires high-confidence ramp acceleration</t>
        </is>
      </c>
    </row>
    <row r="22" ht="15.75" customHeight="1">
      <c r="B22" s="7" t="inlineStr">
        <is>
          <t xml:space="preserve">  Year 2</t>
        </is>
      </c>
      <c r="C22" s="24" t="n">
        <v>0.7</v>
      </c>
      <c r="D22" s="26" t="n">
        <v>1113.245554773633</v>
      </c>
      <c r="E22" s="14" t="n">
        <v>2100</v>
      </c>
      <c r="F22" s="20" t="n">
        <v>0.4698830691554127</v>
      </c>
      <c r="G22" s="17" t="inlineStr">
        <is>
          <t>Comfortably achievable if cost synergies deliver</t>
        </is>
      </c>
    </row>
    <row r="23" ht="15.75" customHeight="1">
      <c r="B23" s="7" t="inlineStr">
        <is>
          <t xml:space="preserve">  Year 3 (full)</t>
        </is>
      </c>
      <c r="C23" s="24" t="n">
        <v>1</v>
      </c>
      <c r="D23" s="26" t="n">
        <v>779.2718883415433</v>
      </c>
      <c r="E23" s="14" t="n">
        <v>2100</v>
      </c>
      <c r="F23" s="20" t="n">
        <v>0.6289181484087889</v>
      </c>
      <c r="G23" s="17" t="inlineStr">
        <is>
          <t>Base case well exceeds threshold — 63% cushion</t>
        </is>
      </c>
    </row>
    <row r="24" ht="15.75" customHeight="1"/>
    <row r="25" ht="15.75" customHeight="1">
      <c r="B25" s="12" t="inlineStr">
        <is>
          <t xml:space="preserve">  PART 3: SYNERGY SENSITIVITY — ACCRETION AT DIFFERENT RUN-RATES</t>
        </is>
      </c>
    </row>
    <row r="26" ht="15.75" customHeight="1">
      <c r="B26" s="22" t="inlineStr">
        <is>
          <t>Run-Rate Synergy ($M)</t>
        </is>
      </c>
      <c r="C26" s="23" t="inlineStr">
        <is>
          <t>After-tax Yr1</t>
        </is>
      </c>
      <c r="D26" s="23" t="inlineStr">
        <is>
          <t>After-tax Yr2</t>
        </is>
      </c>
      <c r="E26" s="23" t="inlineStr">
        <is>
          <t>After-tax Yr3</t>
        </is>
      </c>
      <c r="F26" s="23" t="inlineStr">
        <is>
          <t>Yr1 EPS</t>
        </is>
      </c>
      <c r="G26" s="23" t="inlineStr">
        <is>
          <t>Yr2 EPS</t>
        </is>
      </c>
      <c r="H26" s="23" t="inlineStr">
        <is>
          <t>Yr3 EPS</t>
        </is>
      </c>
    </row>
    <row r="27" ht="15.75" customHeight="1">
      <c r="B27" s="27" t="inlineStr">
        <is>
          <t xml:space="preserve">  $0M</t>
        </is>
      </c>
      <c r="C27" s="14" t="n">
        <v>0</v>
      </c>
      <c r="D27" s="14" t="n">
        <v>0</v>
      </c>
      <c r="E27" s="14" t="n">
        <v>0</v>
      </c>
      <c r="F27" s="28" t="n">
        <v>10.20153769527396</v>
      </c>
      <c r="G27" s="28" t="n">
        <v>10.20153769527396</v>
      </c>
      <c r="H27" s="28" t="n">
        <v>10.20153769527396</v>
      </c>
    </row>
    <row r="28" ht="15.75" customHeight="1">
      <c r="B28" s="27" t="inlineStr">
        <is>
          <t xml:space="preserve">  $500M</t>
        </is>
      </c>
      <c r="C28" s="14" t="n">
        <v>162.4</v>
      </c>
      <c r="D28" s="14" t="n">
        <v>284.2</v>
      </c>
      <c r="E28" s="14" t="n">
        <v>406</v>
      </c>
      <c r="F28" s="28" t="n">
        <v>10.22338326966191</v>
      </c>
      <c r="G28" s="28" t="n">
        <v>10.23976745045287</v>
      </c>
      <c r="H28" s="28" t="n">
        <v>10.25615163124383</v>
      </c>
    </row>
    <row r="29" ht="15.75" customHeight="1">
      <c r="B29" s="29" t="inlineStr">
        <is>
          <t xml:space="preserve">  ≈ Break-even  ($780M)</t>
        </is>
      </c>
      <c r="C29" s="30" t="n">
        <v>253.344</v>
      </c>
      <c r="D29" s="30" t="n">
        <v>443.352</v>
      </c>
      <c r="E29" s="30" t="n">
        <v>633.36</v>
      </c>
      <c r="F29" s="31" t="n">
        <v>10.23561679131916</v>
      </c>
      <c r="G29" s="31" t="n">
        <v>10.26117611335306</v>
      </c>
      <c r="H29" s="31" t="n">
        <v>10.28673543538696</v>
      </c>
    </row>
    <row r="30" ht="15.75" customHeight="1">
      <c r="B30" s="27" t="inlineStr">
        <is>
          <t xml:space="preserve">  $1,100M</t>
        </is>
      </c>
      <c r="C30" s="14" t="n">
        <v>357.28</v>
      </c>
      <c r="D30" s="14" t="n">
        <v>625.24</v>
      </c>
      <c r="E30" s="14" t="n">
        <v>893.2</v>
      </c>
      <c r="F30" s="28" t="n">
        <v>10.24959795892745</v>
      </c>
      <c r="G30" s="28" t="n">
        <v>10.28564315666756</v>
      </c>
      <c r="H30" s="28" t="n">
        <v>10.32168835440767</v>
      </c>
    </row>
    <row r="31" ht="15.75" customHeight="1">
      <c r="B31" s="27" t="inlineStr">
        <is>
          <t xml:space="preserve">  $1,500M</t>
        </is>
      </c>
      <c r="C31" s="14" t="n">
        <v>487.2</v>
      </c>
      <c r="D31" s="14" t="n">
        <v>852.6</v>
      </c>
      <c r="E31" s="14" t="n">
        <v>1218</v>
      </c>
      <c r="F31" s="28" t="n">
        <v>10.26707441843781</v>
      </c>
      <c r="G31" s="28" t="n">
        <v>10.31622696081069</v>
      </c>
      <c r="H31" s="28" t="n">
        <v>10.36537950318357</v>
      </c>
    </row>
    <row r="32" ht="15.75" customHeight="1">
      <c r="B32" s="32" t="inlineStr">
        <is>
          <t xml:space="preserve">  ★ Base Case  ($2,100M)</t>
        </is>
      </c>
      <c r="C32" s="33" t="n">
        <v>682.08</v>
      </c>
      <c r="D32" s="33" t="n">
        <v>1193.64</v>
      </c>
      <c r="E32" s="33" t="n">
        <v>1705.2</v>
      </c>
      <c r="F32" s="34" t="n">
        <v>10.29328910770334</v>
      </c>
      <c r="G32" s="34" t="n">
        <v>10.36210266702538</v>
      </c>
      <c r="H32" s="34" t="n">
        <v>10.43091622634741</v>
      </c>
    </row>
    <row r="33" ht="15.75" customHeight="1">
      <c r="B33" s="27" t="inlineStr">
        <is>
          <t xml:space="preserve">  $2,500M</t>
        </is>
      </c>
      <c r="C33" s="14" t="n">
        <v>812</v>
      </c>
      <c r="D33" s="14" t="n">
        <v>1421</v>
      </c>
      <c r="E33" s="14" t="n">
        <v>2030</v>
      </c>
      <c r="F33" s="28" t="n">
        <v>10.3107655672137</v>
      </c>
      <c r="G33" s="28" t="n">
        <v>10.3926864711685</v>
      </c>
      <c r="H33" s="28" t="n">
        <v>10.47460737512331</v>
      </c>
    </row>
    <row r="34" ht="15.75" customHeight="1">
      <c r="B34" s="27" t="inlineStr">
        <is>
          <t xml:space="preserve">  $3,000M</t>
        </is>
      </c>
      <c r="C34" s="14" t="n">
        <v>974.4000000000001</v>
      </c>
      <c r="D34" s="14" t="n">
        <v>1705.2</v>
      </c>
      <c r="E34" s="14" t="n">
        <v>2436</v>
      </c>
      <c r="F34" s="28" t="n">
        <v>10.33261114160165</v>
      </c>
      <c r="G34" s="28" t="n">
        <v>10.43091622634741</v>
      </c>
      <c r="H34" s="28" t="n">
        <v>10.52922131109317</v>
      </c>
    </row>
    <row r="35" ht="15.75" customHeight="1">
      <c r="B35" s="27" t="inlineStr">
        <is>
          <t xml:space="preserve">  $3,500M</t>
        </is>
      </c>
      <c r="C35" s="14" t="n">
        <v>1136.8</v>
      </c>
      <c r="D35" s="14" t="n">
        <v>1989.4</v>
      </c>
      <c r="E35" s="14" t="n">
        <v>2842</v>
      </c>
      <c r="F35" s="28" t="n">
        <v>10.3544567159896</v>
      </c>
      <c r="G35" s="28" t="n">
        <v>10.46914598152632</v>
      </c>
      <c r="H35" s="28" t="n">
        <v>10.58383524706304</v>
      </c>
    </row>
    <row r="36" ht="15.75" customHeight="1"/>
    <row r="37" ht="15.75" customHeight="1">
      <c r="B37" s="21" t="inlineStr">
        <is>
          <t>★ Base case. ≈ Break-even row shows minimum synergy to avoid EPS dilution. Cost synergies alone ($1,100M) exceed the break-even run-rate, providing a high-confidence floor for accretion.</t>
        </is>
      </c>
    </row>
    <row r="38" ht="15.75" customHeight="1"/>
    <row r="39" ht="15.75" customHeight="1"/>
  </sheetData>
  <mergeCells count="4">
    <mergeCell ref="B3:H3"/>
    <mergeCell ref="B19:H19"/>
    <mergeCell ref="B2:H2"/>
    <mergeCell ref="B37:H37"/>
  </mergeCells>
  <pageMargins left="0.75" right="0.75" top="1" bottom="1" header="0.5" footer="0.5"/>
</worksheet>
</file>

<file path=xl/worksheets/sheet3.xml><?xml version="1.0" encoding="utf-8"?>
<worksheet xmlns="http://schemas.openxmlformats.org/spreadsheetml/2006/main">
  <sheetPr>
    <tabColor rgb="00185FA5"/>
    <outlinePr summaryBelow="1" summaryRight="1"/>
    <pageSetUpPr/>
  </sheetPr>
  <dimension ref="B2:I23"/>
  <sheetViews>
    <sheetView workbookViewId="0">
      <selection activeCell="A1" sqref="A1"/>
    </sheetView>
  </sheetViews>
  <sheetFormatPr baseColWidth="8" defaultRowHeight="15"/>
  <cols>
    <col width="2" customWidth="1" min="1" max="1"/>
    <col width="30" customWidth="1" min="2" max="2"/>
    <col width="14" customWidth="1" min="3" max="3"/>
    <col width="14" customWidth="1" min="4" max="4"/>
    <col width="14" customWidth="1" min="5" max="5"/>
    <col width="14" customWidth="1" min="6" max="6"/>
    <col width="14" customWidth="1" min="7" max="7"/>
    <col width="14" customWidth="1" min="8" max="8"/>
    <col width="38" customWidth="1" min="9" max="9"/>
  </cols>
  <sheetData>
    <row r="1" ht="15.75" customHeight="1"/>
    <row r="2" ht="15.75" customHeight="1">
      <c r="B2" s="1" t="inlineStr">
        <is>
          <t>FINANCING STRUCTURE OPTIMIZER</t>
        </is>
      </c>
    </row>
    <row r="3" ht="15.75" customHeight="1">
      <c r="B3" s="2" t="inlineStr">
        <is>
          <t>How does the debt / equity / cash mix affect EPS accretion and leverage?  |  MSFT price at close: $330/share</t>
        </is>
      </c>
    </row>
    <row r="4" ht="15.75" customHeight="1"/>
    <row r="5" ht="21.75" customHeight="1">
      <c r="B5" s="12" t="inlineStr">
        <is>
          <t xml:space="preserve">  KEY INSIGHT: WHY EQUITY FINANCING IS MORE EPS ACCRETIVE FOR HIGH-P/E ACQUIRERS</t>
        </is>
      </c>
    </row>
    <row r="6" ht="15.75" customHeight="1">
      <c r="B6" s="35" t="inlineStr">
        <is>
          <t>MSFT earnings yield (E/P) = $10.29 / $330 = 3.1%  |  After-tax cost of debt = 4.6% × (1−18.8%) = 3.74%  |  Since earnings yield (3.1%) &lt; after-tax debt (3.74%), each dollar financed by equity 'costs' less EPS than a dollar financed by debt. MSFT chose debt for strategic reasons: deal certainty, interest tax shield, preserving share count, and access to Aaa-rated debt markets at tight spreads.</t>
        </is>
      </c>
    </row>
    <row r="7" ht="15.75" customHeight="1"/>
    <row r="8" ht="15.75" customHeight="1">
      <c r="B8" s="12" t="inlineStr">
        <is>
          <t xml:space="preserve">  FINANCING MIX SCENARIOS (non-cash portion = $50,470M)</t>
        </is>
      </c>
    </row>
    <row r="9" ht="15.75" customHeight="1">
      <c r="B9" s="22" t="inlineStr">
        <is>
          <t>Equity %</t>
        </is>
      </c>
      <c r="C9" s="23" t="inlineStr">
        <is>
          <t>Equity ($M)</t>
        </is>
      </c>
      <c r="D9" s="23" t="inlineStr">
        <is>
          <t>New Shares (M)</t>
        </is>
      </c>
      <c r="E9" s="23" t="inlineStr">
        <is>
          <t>Total Shares (M)</t>
        </is>
      </c>
      <c r="F9" s="23" t="inlineStr">
        <is>
          <t>New Debt ($M)</t>
        </is>
      </c>
      <c r="G9" s="23" t="inlineStr">
        <is>
          <t>AT Fin. Cost ($M)</t>
        </is>
      </c>
      <c r="H9" s="23" t="inlineStr">
        <is>
          <t>Yr1 Pro Forma EPS</t>
        </is>
      </c>
      <c r="I9" s="23" t="inlineStr">
        <is>
          <t>Yr1 Accretion %</t>
        </is>
      </c>
    </row>
    <row r="10" ht="15.75" customHeight="1">
      <c r="B10" s="36" t="inlineStr">
        <is>
          <t xml:space="preserve">  ★ 0% (Actual: All Debt)</t>
        </is>
      </c>
      <c r="C10" s="33" t="n">
        <v>0</v>
      </c>
      <c r="D10" s="33" t="n">
        <v>0</v>
      </c>
      <c r="E10" s="33" t="n">
        <v>7434</v>
      </c>
      <c r="F10" s="33" t="n">
        <v>50470</v>
      </c>
      <c r="G10" s="33" t="n">
        <v>2615.95544</v>
      </c>
      <c r="H10" s="34" t="n">
        <v>10.29328910770334</v>
      </c>
      <c r="I10" s="37" t="n">
        <v>0.00064483564575672</v>
      </c>
    </row>
    <row r="11" ht="15.75" customHeight="1">
      <c r="B11" s="38" t="inlineStr">
        <is>
          <t xml:space="preserve">  10% equity</t>
        </is>
      </c>
      <c r="C11" s="14" t="n">
        <v>5047</v>
      </c>
      <c r="D11" s="14" t="n">
        <v>15.29393939393939</v>
      </c>
      <c r="E11" s="14" t="n">
        <v>7449.29393939394</v>
      </c>
      <c r="F11" s="14" t="n">
        <v>45423</v>
      </c>
      <c r="G11" s="14" t="n">
        <v>2427.439896</v>
      </c>
      <c r="H11" s="28" t="n">
        <v>10.29746273871797</v>
      </c>
      <c r="I11" s="39" t="n">
        <v>0.0010505681844014</v>
      </c>
    </row>
    <row r="12" ht="15.75" customHeight="1">
      <c r="B12" s="38" t="inlineStr">
        <is>
          <t xml:space="preserve">  25% equity</t>
        </is>
      </c>
      <c r="C12" s="14" t="n">
        <v>12617.5</v>
      </c>
      <c r="D12" s="14" t="n">
        <v>38.23484848484848</v>
      </c>
      <c r="E12" s="14" t="n">
        <v>7472.234848484848</v>
      </c>
      <c r="F12" s="14" t="n">
        <v>37852.5</v>
      </c>
      <c r="G12" s="14" t="n">
        <v>2144.66658</v>
      </c>
      <c r="H12" s="28" t="n">
        <v>10.30369115101867</v>
      </c>
      <c r="I12" s="39" t="n">
        <v>0.001656052839282766</v>
      </c>
    </row>
    <row r="13" ht="15.75" customHeight="1">
      <c r="B13" s="38" t="inlineStr">
        <is>
          <t xml:space="preserve">  40% equity</t>
        </is>
      </c>
      <c r="C13" s="14" t="n">
        <v>20188</v>
      </c>
      <c r="D13" s="14" t="n">
        <v>61.17575757575757</v>
      </c>
      <c r="E13" s="14" t="n">
        <v>7495.175757575757</v>
      </c>
      <c r="F13" s="14" t="n">
        <v>30282</v>
      </c>
      <c r="G13" s="14" t="n">
        <v>1861.893264</v>
      </c>
      <c r="H13" s="28" t="n">
        <v>10.30988143601056</v>
      </c>
      <c r="I13" s="39" t="n">
        <v>0.002257831011788451</v>
      </c>
    </row>
    <row r="14" ht="15.75" customHeight="1">
      <c r="B14" s="38" t="inlineStr">
        <is>
          <t xml:space="preserve">  50% equity</t>
        </is>
      </c>
      <c r="C14" s="14" t="n">
        <v>25235</v>
      </c>
      <c r="D14" s="14" t="n">
        <v>76.46969696969697</v>
      </c>
      <c r="E14" s="14" t="n">
        <v>7510.469696969697</v>
      </c>
      <c r="F14" s="14" t="n">
        <v>25235</v>
      </c>
      <c r="G14" s="14" t="n">
        <v>1673.37772</v>
      </c>
      <c r="H14" s="28" t="n">
        <v>10.31398728336806</v>
      </c>
      <c r="I14" s="39" t="n">
        <v>0.002656974075900501</v>
      </c>
    </row>
    <row r="15" ht="15.75" customHeight="1">
      <c r="B15" s="38" t="inlineStr">
        <is>
          <t xml:space="preserve">  75% equity</t>
        </is>
      </c>
      <c r="C15" s="14" t="n">
        <v>37852.5</v>
      </c>
      <c r="D15" s="14" t="n">
        <v>114.7045454545455</v>
      </c>
      <c r="E15" s="14" t="n">
        <v>7548.704545454545</v>
      </c>
      <c r="F15" s="14" t="n">
        <v>12617.5</v>
      </c>
      <c r="G15" s="14" t="n">
        <v>1202.08886</v>
      </c>
      <c r="H15" s="28" t="n">
        <v>10.32417911409644</v>
      </c>
      <c r="I15" s="39" t="n">
        <v>0.003647755805376142</v>
      </c>
    </row>
    <row r="16" ht="15.75" customHeight="1">
      <c r="B16" s="38" t="inlineStr">
        <is>
          <t xml:space="preserve">  100% equity</t>
        </is>
      </c>
      <c r="C16" s="14" t="n">
        <v>50470</v>
      </c>
      <c r="D16" s="14" t="n">
        <v>152.9393939393939</v>
      </c>
      <c r="E16" s="14" t="n">
        <v>7586.939393939394</v>
      </c>
      <c r="F16" s="14" t="n">
        <v>0</v>
      </c>
      <c r="G16" s="14" t="n">
        <v>730.8000000000001</v>
      </c>
      <c r="H16" s="28" t="n">
        <v>10.33426822010712</v>
      </c>
      <c r="I16" s="39" t="n">
        <v>0.004628551323721943</v>
      </c>
    </row>
    <row r="17" ht="15.75" customHeight="1"/>
    <row r="18" ht="15.75" customHeight="1"/>
    <row r="19" ht="15.75" customHeight="1">
      <c r="B19" s="12" t="inlineStr">
        <is>
          <t xml:space="preserve">  LEVERAGE RATIOS (BASE CASE: 0% EQUITY)</t>
        </is>
      </c>
    </row>
    <row r="20" ht="15.75" customHeight="1">
      <c r="B20" s="18" t="inlineStr">
        <is>
          <t xml:space="preserve">  Combined EV / EBITDA (at deal price)</t>
        </is>
      </c>
      <c r="C20" s="40" t="n">
        <v>38.71978021978022</v>
      </c>
      <c r="D20" s="11" t="inlineStr">
        <is>
          <t>Deal EV $70,470M ÷ ATVI EBITDA $1,820M — MSFT paid 38.7x EBITDA</t>
        </is>
      </c>
    </row>
    <row r="21" ht="15.75" customHeight="1">
      <c r="B21" s="18" t="inlineStr">
        <is>
          <t xml:space="preserve">  Gross new debt ($M)</t>
        </is>
      </c>
      <c r="C21" s="41" t="n">
        <v>50470</v>
      </c>
      <c r="D21" s="11" t="inlineStr">
        <is>
          <t>Permanent capital raised to fund acquisition</t>
        </is>
      </c>
    </row>
    <row r="22" ht="15.75" customHeight="1">
      <c r="B22" s="18" t="inlineStr">
        <is>
          <t xml:space="preserve">  Net Debt / Pro Forma EBITDA</t>
        </is>
      </c>
      <c r="C22" s="40" t="n">
        <v>0.4695233133628549</v>
      </c>
      <c r="D22" s="11" t="inlineStr">
        <is>
          <t>$50,470M new debt ÷ $107,492M pro forma EBITDA. MSFT Aaa-rated pre-deal.</t>
        </is>
      </c>
    </row>
    <row r="23" ht="15.75" customHeight="1">
      <c r="B23" s="18" t="inlineStr">
        <is>
          <t xml:space="preserve">  Interest coverage (PF EBIT / Gross Interest)</t>
        </is>
      </c>
      <c r="C23" s="40" t="n">
        <v>24.84557458669862</v>
      </c>
      <c r="D23" s="11" t="inlineStr">
        <is>
          <t>Highly comfortable; MSFT's cash generation easily services new debt.</t>
        </is>
      </c>
    </row>
    <row r="24" ht="15.75" customHeight="1"/>
    <row r="25" ht="15.75" customHeight="1"/>
  </sheetData>
  <mergeCells count="10">
    <mergeCell ref="B6:I6"/>
    <mergeCell ref="D22:I22"/>
    <mergeCell ref="B2:I2"/>
    <mergeCell ref="D23:I23"/>
    <mergeCell ref="B3:I3"/>
    <mergeCell ref="B5:I5"/>
    <mergeCell ref="B19:I19"/>
    <mergeCell ref="D20:I20"/>
    <mergeCell ref="B8:I8"/>
    <mergeCell ref="D21:I21"/>
  </mergeCells>
  <pageMargins left="0.75" right="0.75" top="1" bottom="1" header="0.5" footer="0.5"/>
</worksheet>
</file>

<file path=xl/worksheets/sheet4.xml><?xml version="1.0" encoding="utf-8"?>
<worksheet xmlns="http://schemas.openxmlformats.org/spreadsheetml/2006/main">
  <sheetPr>
    <tabColor rgb="00FAEEDA"/>
    <outlinePr summaryBelow="1" summaryRight="1"/>
    <pageSetUpPr/>
  </sheetPr>
  <dimension ref="B2:J20"/>
  <sheetViews>
    <sheetView workbookViewId="0">
      <selection activeCell="A1" sqref="A1"/>
    </sheetView>
  </sheetViews>
  <sheetFormatPr baseColWidth="8" defaultRowHeight="15"/>
  <cols>
    <col width="2" customWidth="1" min="1" max="1"/>
    <col width="16" customWidth="1" min="2" max="2"/>
    <col width="14" customWidth="1" min="3" max="3"/>
    <col width="14" customWidth="1" min="4" max="4"/>
    <col width="14" customWidth="1" min="5" max="5"/>
    <col width="14" customWidth="1" min="6" max="6"/>
    <col width="14" customWidth="1" min="7" max="7"/>
    <col width="14" customWidth="1" min="8" max="8"/>
    <col width="14" customWidth="1" min="9" max="9"/>
    <col width="36" customWidth="1" min="10" max="10"/>
  </cols>
  <sheetData>
    <row r="1" ht="15.75" customHeight="1"/>
    <row r="2" ht="15.75" customHeight="1">
      <c r="B2" s="1" t="inlineStr">
        <is>
          <t>M&amp;A PREMIUM SENSITIVITY — HOW PURCHASE PRICE AFFECTS ACCRETION/DILUTION</t>
        </is>
      </c>
    </row>
    <row r="3" ht="15.75" customHeight="1">
      <c r="B3" s="2" t="inlineStr">
        <is>
          <t>ATVI shares: 724M  |  Unaffected price: ~$65.50/share  |  Base deal: $95/share  |  Synergies held at $2,100M base case</t>
        </is>
      </c>
    </row>
    <row r="4" ht="15.75" customHeight="1"/>
    <row r="5" ht="15.75" customHeight="1">
      <c r="B5" s="35" t="inlineStr">
        <is>
          <t>PPA amortization is FIXED at $1,957M/yr regardless of price (identified intangible fair values don't change; only goodwill — which is NOT amortized — absorbs the premium). Higher price → more debt → higher interest cost → EPS drag.</t>
        </is>
      </c>
    </row>
    <row r="6" ht="21.75" customHeight="1"/>
    <row r="7" ht="15.75" customHeight="1">
      <c r="B7" s="22" t="inlineStr">
        <is>
          <t>Price/Share</t>
        </is>
      </c>
      <c r="C7" s="23" t="inlineStr">
        <is>
          <t>Premium %</t>
        </is>
      </c>
      <c r="D7" s="23" t="inlineStr">
        <is>
          <t>Equity Value ($M)</t>
        </is>
      </c>
      <c r="E7" s="23" t="inlineStr">
        <is>
          <t>Total Deal ($M)</t>
        </is>
      </c>
      <c r="F7" s="23" t="inlineStr">
        <is>
          <t>New Debt ($M)</t>
        </is>
      </c>
      <c r="G7" s="23" t="inlineStr">
        <is>
          <t>AT Fin Cost ($M)</t>
        </is>
      </c>
      <c r="H7" s="23" t="inlineStr">
        <is>
          <t>Goodwill ($M)</t>
        </is>
      </c>
      <c r="I7" s="23" t="inlineStr">
        <is>
          <t>Yr1 EPS</t>
        </is>
      </c>
      <c r="J7" s="23" t="inlineStr">
        <is>
          <t>Yr1 Accretion</t>
        </is>
      </c>
    </row>
    <row r="8" ht="15.75" customHeight="1">
      <c r="B8" s="42" t="inlineStr">
        <is>
          <t xml:space="preserve">  $65/share</t>
        </is>
      </c>
      <c r="C8" s="43" t="n">
        <v>-0.007633587786259542</v>
      </c>
      <c r="D8" s="30" t="n">
        <v>47060</v>
      </c>
      <c r="E8" s="30" t="n">
        <v>48830</v>
      </c>
      <c r="F8" s="30" t="n">
        <v>28830</v>
      </c>
      <c r="G8" s="30" t="n">
        <v>1807.65816</v>
      </c>
      <c r="H8" s="30" t="n">
        <v>24360</v>
      </c>
      <c r="I8" s="44" t="n">
        <v>10.40201890054703</v>
      </c>
      <c r="J8" s="39" t="n">
        <v>0.01121482008430191</v>
      </c>
    </row>
    <row r="9" ht="15.75" customHeight="1">
      <c r="B9" s="42" t="inlineStr">
        <is>
          <t xml:space="preserve">  $70/share</t>
        </is>
      </c>
      <c r="C9" s="43" t="n">
        <v>0.06870229007633588</v>
      </c>
      <c r="D9" s="30" t="n">
        <v>50680</v>
      </c>
      <c r="E9" s="30" t="n">
        <v>52450</v>
      </c>
      <c r="F9" s="30" t="n">
        <v>32450</v>
      </c>
      <c r="G9" s="30" t="n">
        <v>1942.8724</v>
      </c>
      <c r="H9" s="30" t="n">
        <v>27980</v>
      </c>
      <c r="I9" s="44" t="n">
        <v>10.38383027531163</v>
      </c>
      <c r="J9" s="39" t="n">
        <v>0.009446643389868876</v>
      </c>
    </row>
    <row r="10" ht="15.75" customHeight="1">
      <c r="B10" s="42" t="inlineStr">
        <is>
          <t xml:space="preserve">  $75/share</t>
        </is>
      </c>
      <c r="C10" s="43" t="n">
        <v>0.1450381679389313</v>
      </c>
      <c r="D10" s="30" t="n">
        <v>54300</v>
      </c>
      <c r="E10" s="30" t="n">
        <v>56070</v>
      </c>
      <c r="F10" s="30" t="n">
        <v>36070</v>
      </c>
      <c r="G10" s="30" t="n">
        <v>2078.08664</v>
      </c>
      <c r="H10" s="30" t="n">
        <v>31600</v>
      </c>
      <c r="I10" s="44" t="n">
        <v>10.36564165007623</v>
      </c>
      <c r="J10" s="39" t="n">
        <v>0.007678466695435673</v>
      </c>
    </row>
    <row r="11" ht="15.75" customHeight="1">
      <c r="B11" s="42" t="inlineStr">
        <is>
          <t xml:space="preserve">  $80/share</t>
        </is>
      </c>
      <c r="C11" s="43" t="n">
        <v>0.2213740458015267</v>
      </c>
      <c r="D11" s="30" t="n">
        <v>57920</v>
      </c>
      <c r="E11" s="30" t="n">
        <v>59690</v>
      </c>
      <c r="F11" s="30" t="n">
        <v>39690</v>
      </c>
      <c r="G11" s="30" t="n">
        <v>2213.30088</v>
      </c>
      <c r="H11" s="30" t="n">
        <v>35220</v>
      </c>
      <c r="I11" s="44" t="n">
        <v>10.34745302484082</v>
      </c>
      <c r="J11" s="39" t="n">
        <v>0.005910290001002469</v>
      </c>
    </row>
    <row r="12" ht="15.75" customHeight="1">
      <c r="B12" s="42" t="inlineStr">
        <is>
          <t xml:space="preserve">  $85/share</t>
        </is>
      </c>
      <c r="C12" s="43" t="n">
        <v>0.2977099236641221</v>
      </c>
      <c r="D12" s="30" t="n">
        <v>61540</v>
      </c>
      <c r="E12" s="30" t="n">
        <v>63310</v>
      </c>
      <c r="F12" s="30" t="n">
        <v>43310</v>
      </c>
      <c r="G12" s="30" t="n">
        <v>2348.51512</v>
      </c>
      <c r="H12" s="30" t="n">
        <v>38840</v>
      </c>
      <c r="I12" s="44" t="n">
        <v>10.32926439960542</v>
      </c>
      <c r="J12" s="39" t="n">
        <v>0.004142113306569266</v>
      </c>
    </row>
    <row r="13" ht="15.75" customHeight="1">
      <c r="B13" s="42" t="inlineStr">
        <is>
          <t xml:space="preserve">  $90/share</t>
        </is>
      </c>
      <c r="C13" s="43" t="n">
        <v>0.3740458015267176</v>
      </c>
      <c r="D13" s="30" t="n">
        <v>65160</v>
      </c>
      <c r="E13" s="30" t="n">
        <v>66930</v>
      </c>
      <c r="F13" s="30" t="n">
        <v>46930</v>
      </c>
      <c r="G13" s="30" t="n">
        <v>2483.72936</v>
      </c>
      <c r="H13" s="30" t="n">
        <v>42460</v>
      </c>
      <c r="I13" s="44" t="n">
        <v>10.31107577437001</v>
      </c>
      <c r="J13" s="39" t="n">
        <v>0.002373936612136235</v>
      </c>
    </row>
    <row r="14" ht="15.75" customHeight="1">
      <c r="B14" s="4" t="inlineStr">
        <is>
          <t xml:space="preserve">  ★ $95 (ACTUAL)</t>
        </is>
      </c>
      <c r="C14" s="45" t="n">
        <v>0.4503816793893129</v>
      </c>
      <c r="D14" s="33" t="n">
        <v>68780</v>
      </c>
      <c r="E14" s="33" t="n">
        <v>70550</v>
      </c>
      <c r="F14" s="33" t="n">
        <v>50550</v>
      </c>
      <c r="G14" s="33" t="n">
        <v>2618.943600000001</v>
      </c>
      <c r="H14" s="33" t="n">
        <v>46080</v>
      </c>
      <c r="I14" s="34" t="n">
        <v>10.29288714913461</v>
      </c>
      <c r="J14" s="37" t="n">
        <v>0.0006057599177030315</v>
      </c>
    </row>
    <row r="15" ht="15.75" customHeight="1">
      <c r="B15" s="46" t="inlineStr">
        <is>
          <t xml:space="preserve">  $100/share</t>
        </is>
      </c>
      <c r="C15" s="47" t="n">
        <v>0.5267175572519084</v>
      </c>
      <c r="D15" s="15" t="n">
        <v>72400</v>
      </c>
      <c r="E15" s="15" t="n">
        <v>74170</v>
      </c>
      <c r="F15" s="15" t="n">
        <v>54170</v>
      </c>
      <c r="G15" s="15" t="n">
        <v>2754.15784</v>
      </c>
      <c r="H15" s="15" t="n">
        <v>49700</v>
      </c>
      <c r="I15" s="48" t="n">
        <v>10.2746985238992</v>
      </c>
      <c r="J15" s="49" t="n">
        <v>-0.001162416776730172</v>
      </c>
    </row>
    <row r="16" ht="15.75" customHeight="1">
      <c r="B16" s="46" t="inlineStr">
        <is>
          <t xml:space="preserve">  $105/share</t>
        </is>
      </c>
      <c r="C16" s="47" t="n">
        <v>0.6030534351145038</v>
      </c>
      <c r="D16" s="15" t="n">
        <v>76020</v>
      </c>
      <c r="E16" s="15" t="n">
        <v>77790</v>
      </c>
      <c r="F16" s="15" t="n">
        <v>57790</v>
      </c>
      <c r="G16" s="15" t="n">
        <v>2889.37208</v>
      </c>
      <c r="H16" s="15" t="n">
        <v>53320</v>
      </c>
      <c r="I16" s="48" t="n">
        <v>10.2565098986638</v>
      </c>
      <c r="J16" s="49" t="n">
        <v>-0.002930593471163375</v>
      </c>
    </row>
    <row r="17" ht="15.75" customHeight="1">
      <c r="B17" s="46" t="inlineStr">
        <is>
          <t xml:space="preserve">  $110/share</t>
        </is>
      </c>
      <c r="C17" s="47" t="n">
        <v>0.6793893129770993</v>
      </c>
      <c r="D17" s="15" t="n">
        <v>79640</v>
      </c>
      <c r="E17" s="15" t="n">
        <v>81410</v>
      </c>
      <c r="F17" s="15" t="n">
        <v>61410</v>
      </c>
      <c r="G17" s="15" t="n">
        <v>3024.58632</v>
      </c>
      <c r="H17" s="15" t="n">
        <v>56940</v>
      </c>
      <c r="I17" s="48" t="n">
        <v>10.23832127342839</v>
      </c>
      <c r="J17" s="49" t="n">
        <v>-0.004698770165596579</v>
      </c>
    </row>
    <row r="18" ht="15.75" customHeight="1">
      <c r="B18" s="46" t="inlineStr">
        <is>
          <t xml:space="preserve">  $115/share</t>
        </is>
      </c>
      <c r="C18" s="47" t="n">
        <v>0.7557251908396947</v>
      </c>
      <c r="D18" s="15" t="n">
        <v>83260</v>
      </c>
      <c r="E18" s="15" t="n">
        <v>85030</v>
      </c>
      <c r="F18" s="15" t="n">
        <v>65030</v>
      </c>
      <c r="G18" s="15" t="n">
        <v>3159.80056</v>
      </c>
      <c r="H18" s="15" t="n">
        <v>60560</v>
      </c>
      <c r="I18" s="48" t="n">
        <v>10.22013264819299</v>
      </c>
      <c r="J18" s="49" t="n">
        <v>-0.006466946860029782</v>
      </c>
    </row>
    <row r="19" ht="15.75" customHeight="1"/>
    <row r="20" ht="15.75" customHeight="1">
      <c r="B20" s="50" t="inlineStr">
        <is>
          <t>Break-even purchase price: ~$96.71/share  (actual: $95.00/share → $1.71 below break-even)  |  Without synergies, break-even price falls to ~$71.48/share  |  Deal structurally requires synergy delivery for EPS accretion at $95</t>
        </is>
      </c>
    </row>
    <row r="21" ht="15.75" customHeight="1"/>
    <row r="22" ht="15.75" customHeight="1"/>
  </sheetData>
  <mergeCells count="4">
    <mergeCell ref="B20:J20"/>
    <mergeCell ref="B3:J3"/>
    <mergeCell ref="B5:J5"/>
    <mergeCell ref="B2:J2"/>
  </mergeCells>
  <pageMargins left="0.75" right="0.75" top="1" bottom="1" header="0.5" footer="0.5"/>
</worksheet>
</file>

<file path=xl/worksheets/sheet5.xml><?xml version="1.0" encoding="utf-8"?>
<worksheet xmlns="http://schemas.openxmlformats.org/spreadsheetml/2006/main">
  <sheetPr>
    <tabColor rgb="00993C1D"/>
    <outlinePr summaryBelow="1" summaryRight="1"/>
    <pageSetUpPr/>
  </sheetPr>
  <dimension ref="B2:I25"/>
  <sheetViews>
    <sheetView workbookViewId="0">
      <selection activeCell="A1" sqref="A1"/>
    </sheetView>
  </sheetViews>
  <sheetFormatPr baseColWidth="8" defaultRowHeight="15"/>
  <cols>
    <col width="2" customWidth="1" min="1" max="1"/>
    <col width="32" customWidth="1" min="2" max="2"/>
    <col width="14" customWidth="1" min="3" max="3"/>
    <col width="14" customWidth="1" min="4" max="4"/>
    <col width="14" customWidth="1" min="5" max="5"/>
    <col width="16" customWidth="1" min="6" max="6"/>
    <col width="16" customWidth="1" min="7" max="7"/>
    <col width="16" customWidth="1" min="8" max="8"/>
    <col width="36" customWidth="1" min="9" max="9"/>
  </cols>
  <sheetData>
    <row r="1" ht="15.75" customHeight="1"/>
    <row r="2" ht="15.75" customHeight="1">
      <c r="B2" s="1" t="inlineStr">
        <is>
          <t>TORNADO / DRIVER ANALYSIS — YEAR 1 EPS SENSITIVITY</t>
        </is>
      </c>
    </row>
    <row r="3" ht="15.75" customHeight="1">
      <c r="B3" s="2" t="inlineStr">
        <is>
          <t>Ranks all key assumptions by their absolute impact on Year-1 Pro Forma EPS  |  Base Year-1 EPS: $10.2933</t>
        </is>
      </c>
    </row>
    <row r="4" ht="15.75" customHeight="1"/>
    <row r="5" ht="15.75" customHeight="1">
      <c r="B5" s="12" t="inlineStr">
        <is>
          <t xml:space="preserve">  HOW TO READ: Each row shows EPS at the low &amp; high of one variable, all others held at base.</t>
        </is>
      </c>
    </row>
    <row r="6" ht="21.75" customHeight="1"/>
    <row r="7" ht="15.75" customHeight="1">
      <c r="B7" s="22" t="inlineStr">
        <is>
          <t>Driver</t>
        </is>
      </c>
      <c r="C7" s="23" t="inlineStr">
        <is>
          <t>Low Value</t>
        </is>
      </c>
      <c r="D7" s="23" t="inlineStr">
        <is>
          <t>Base Value</t>
        </is>
      </c>
      <c r="E7" s="23" t="inlineStr">
        <is>
          <t>High Value</t>
        </is>
      </c>
      <c r="F7" s="23" t="inlineStr">
        <is>
          <t>EPS at Low</t>
        </is>
      </c>
      <c r="G7" s="23" t="inlineStr">
        <is>
          <t>EPS at High</t>
        </is>
      </c>
      <c r="H7" s="23" t="inlineStr">
        <is>
          <t>Low → High EPS Swing</t>
        </is>
      </c>
      <c r="I7" s="22" t="inlineStr">
        <is>
          <t>Notes</t>
        </is>
      </c>
    </row>
    <row r="8" ht="15.75" customHeight="1">
      <c r="B8" s="7" t="inlineStr">
        <is>
          <t xml:space="preserve">  1. Interest rate on new debt</t>
        </is>
      </c>
      <c r="C8" s="8" t="inlineStr">
        <is>
          <t xml:space="preserve">  3.0%</t>
        </is>
      </c>
      <c r="D8" s="51" t="inlineStr">
        <is>
          <t xml:space="preserve">  4.6% (base)</t>
        </is>
      </c>
      <c r="E8" s="8" t="inlineStr">
        <is>
          <t xml:space="preserve">  6.5%</t>
        </is>
      </c>
      <c r="F8" s="52" t="n">
        <v>10.38149279885212</v>
      </c>
      <c r="G8" s="16" t="n">
        <v>10.18854722446417</v>
      </c>
      <c r="H8" s="53" t="n">
        <v>0.1929455743879469</v>
      </c>
      <c r="I8" s="11" t="inlineStr">
        <is>
          <t>Reflects macro rate environment; most impactful single driver (ZIRP vs. restrictive policy)</t>
        </is>
      </c>
    </row>
    <row r="9" ht="15.75" customHeight="1">
      <c r="B9" s="7" t="inlineStr">
        <is>
          <t xml:space="preserve">  2. Purchase price per ATVI share</t>
        </is>
      </c>
      <c r="C9" s="8" t="inlineStr">
        <is>
          <t xml:space="preserve">  $70/sh</t>
        </is>
      </c>
      <c r="D9" s="51" t="inlineStr">
        <is>
          <t xml:space="preserve">  $95/sh (base)</t>
        </is>
      </c>
      <c r="E9" s="8" t="inlineStr">
        <is>
          <t xml:space="preserve">  $110/sh</t>
        </is>
      </c>
      <c r="F9" s="52" t="n">
        <v>10.38383027531163</v>
      </c>
      <c r="G9" s="16" t="n">
        <v>10.23832127342839</v>
      </c>
      <c r="H9" s="53" t="n">
        <v>0.145509001883239</v>
      </c>
      <c r="I9" s="11" t="inlineStr">
        <is>
          <t>Higher price → more debt → higher interest cost. PPA amortization unchanged.</t>
        </is>
      </c>
    </row>
    <row r="10" ht="15.75" customHeight="1">
      <c r="B10" s="7" t="inlineStr">
        <is>
          <t xml:space="preserve">  3. PPA amortization life — game titles</t>
        </is>
      </c>
      <c r="C10" s="8" t="inlineStr">
        <is>
          <t xml:space="preserve">  4 years</t>
        </is>
      </c>
      <c r="D10" s="51" t="inlineStr">
        <is>
          <t xml:space="preserve">  6 years (base)</t>
        </is>
      </c>
      <c r="E10" s="8" t="inlineStr">
        <is>
          <t xml:space="preserve">  10 years</t>
        </is>
      </c>
      <c r="F10" s="16" t="n">
        <v>10.21591936507937</v>
      </c>
      <c r="G10" s="52" t="n">
        <v>10.35518490180253</v>
      </c>
      <c r="H10" s="53" t="n">
        <v>0.1392655367231637</v>
      </c>
      <c r="I10" s="11" t="inlineStr">
        <is>
          <t>Auditor/regulator judgment. Shorter life → higher annual charge → EPS drag.</t>
        </is>
      </c>
    </row>
    <row r="11" ht="15.75" customHeight="1">
      <c r="B11" s="7" t="inlineStr">
        <is>
          <t xml:space="preserve">  4. Run-rate synergies</t>
        </is>
      </c>
      <c r="C11" s="8" t="inlineStr">
        <is>
          <t xml:space="preserve">  $700M</t>
        </is>
      </c>
      <c r="D11" s="51" t="inlineStr">
        <is>
          <t xml:space="preserve">  $2,100M (base)</t>
        </is>
      </c>
      <c r="E11" s="8" t="inlineStr">
        <is>
          <t xml:space="preserve">  $3,500M</t>
        </is>
      </c>
      <c r="F11" s="16" t="n">
        <v>10.23212149941709</v>
      </c>
      <c r="G11" s="52" t="n">
        <v>10.3544567159896</v>
      </c>
      <c r="H11" s="53" t="n">
        <v>0.1223352165725036</v>
      </c>
      <c r="I11" s="11" t="inlineStr">
        <is>
          <t>Year-1 at 40% ramp. Most defensible assumption in board / interview scrutiny.</t>
        </is>
      </c>
    </row>
    <row r="12" ht="15.75" customHeight="1">
      <c r="B12" s="7" t="inlineStr">
        <is>
          <t xml:space="preserve">  5. Foregone yield on cash deployed</t>
        </is>
      </c>
      <c r="C12" s="8" t="inlineStr">
        <is>
          <t xml:space="preserve">  2.5%</t>
        </is>
      </c>
      <c r="D12" s="51" t="inlineStr">
        <is>
          <t xml:space="preserve">  4.5% (base)</t>
        </is>
      </c>
      <c r="E12" s="8" t="inlineStr">
        <is>
          <t xml:space="preserve">  5.5%</t>
        </is>
      </c>
      <c r="F12" s="52" t="n">
        <v>10.33698025647924</v>
      </c>
      <c r="G12" s="16" t="n">
        <v>10.2714435333154</v>
      </c>
      <c r="H12" s="53" t="n">
        <v>0.06553672316384151</v>
      </c>
      <c r="I12" s="11" t="inlineStr">
        <is>
          <t>Opportunity cost of $20B cash. Matters less in ZIRP; more important in 2023 rate environment.</t>
        </is>
      </c>
    </row>
    <row r="13" ht="15.75" customHeight="1">
      <c r="B13" s="7" t="inlineStr">
        <is>
          <t xml:space="preserve">  6. Effective tax rate</t>
        </is>
      </c>
      <c r="C13" s="8" t="inlineStr">
        <is>
          <t xml:space="preserve">  14%</t>
        </is>
      </c>
      <c r="D13" s="51" t="inlineStr">
        <is>
          <t xml:space="preserve">  18.8% (base)</t>
        </is>
      </c>
      <c r="E13" s="8" t="inlineStr">
        <is>
          <t xml:space="preserve">  24%</t>
        </is>
      </c>
      <c r="F13" s="16" t="n">
        <v>10.26527757151825</v>
      </c>
      <c r="G13" s="52" t="n">
        <v>10.32363493857053</v>
      </c>
      <c r="H13" s="53" t="n">
        <v>0.05835736705228278</v>
      </c>
      <c r="I13" s="11" t="inlineStr">
        <is>
          <t>Lower tax rate reduces value of interest deduction AND PPA deduction. Net effect: lower tax = less EPS.</t>
        </is>
      </c>
    </row>
    <row r="14" ht="15.75" customHeight="1">
      <c r="B14" s="7" t="inlineStr">
        <is>
          <t xml:space="preserve">  7. WACC (PV of synergy stream)</t>
        </is>
      </c>
      <c r="C14" s="8" t="inlineStr">
        <is>
          <t xml:space="preserve">  7.0%</t>
        </is>
      </c>
      <c r="D14" s="51" t="inlineStr">
        <is>
          <t xml:space="preserve">  9.0% (base)</t>
        </is>
      </c>
      <c r="E14" s="8" t="inlineStr">
        <is>
          <t xml:space="preserve">  11.0%</t>
        </is>
      </c>
      <c r="F14" s="52" t="n">
        <v>10.30195182714284</v>
      </c>
      <c r="G14" s="16" t="n">
        <v>10.28573435709482</v>
      </c>
      <c r="H14" s="53" t="n">
        <v>0.01621747004801399</v>
      </c>
      <c r="I14" s="11" t="inlineStr">
        <is>
          <t>Higher WACC → lower PV of synergies → lower effective synergy credit in Year-1 economics.</t>
        </is>
      </c>
    </row>
    <row r="15" ht="15.75" customHeight="1"/>
    <row r="16" ht="15.75" customHeight="1"/>
    <row r="17" ht="15.75" customHeight="1">
      <c r="B17" s="12" t="inlineStr">
        <is>
          <t xml:space="preserve">  ACCRETION / DILUTION % AT LOW &amp; HIGH — SAME RANKING</t>
        </is>
      </c>
    </row>
    <row r="18" ht="15.75" customHeight="1">
      <c r="B18" s="22" t="inlineStr">
        <is>
          <t>Driver</t>
        </is>
      </c>
      <c r="C18" s="23" t="inlineStr">
        <is>
          <t>Yr1 Accrtn at LOW</t>
        </is>
      </c>
      <c r="D18" s="23" t="inlineStr">
        <is>
          <t>Yr1 Accrtn at BASE</t>
        </is>
      </c>
      <c r="E18" s="23" t="inlineStr">
        <is>
          <t>Yr1 Accrtn at HIGH</t>
        </is>
      </c>
      <c r="F18" s="23" t="inlineStr">
        <is>
          <t>Low swing vs. Base</t>
        </is>
      </c>
      <c r="G18" s="23" t="inlineStr">
        <is>
          <t>High swing vs. Base</t>
        </is>
      </c>
      <c r="H18" s="23" t="inlineStr">
        <is>
          <t>Total Swing</t>
        </is>
      </c>
    </row>
    <row r="19" ht="15.75" customHeight="1">
      <c r="B19" s="18" t="inlineStr">
        <is>
          <t xml:space="preserve">  1. Interest rate on new debt</t>
        </is>
      </c>
      <c r="C19" s="39" t="n">
        <v>0.009219409536512662</v>
      </c>
      <c r="D19" s="54" t="n">
        <v>0.00064483564575672</v>
      </c>
      <c r="E19" s="49" t="n">
        <v>-0.009537470849515993</v>
      </c>
      <c r="F19" s="55" t="n">
        <v>0.008574573890755941</v>
      </c>
      <c r="G19" s="55" t="n">
        <v>-0.01018230649527271</v>
      </c>
      <c r="H19" s="56" t="n">
        <v>0.01875688038602866</v>
      </c>
    </row>
    <row r="20" ht="15.75" customHeight="1">
      <c r="B20" s="18" t="inlineStr">
        <is>
          <t xml:space="preserve">  2. Purchase price per ATVI share</t>
        </is>
      </c>
      <c r="C20" s="39" t="n">
        <v>0.009446643389868876</v>
      </c>
      <c r="D20" s="54" t="n">
        <v>0.00064483564575672</v>
      </c>
      <c r="E20" s="49" t="n">
        <v>-0.004698770165596579</v>
      </c>
      <c r="F20" s="55" t="n">
        <v>0.008801807744112156</v>
      </c>
      <c r="G20" s="55" t="n">
        <v>-0.005343605811353298</v>
      </c>
      <c r="H20" s="56" t="n">
        <v>0.01414541355546545</v>
      </c>
    </row>
    <row r="21" ht="15.75" customHeight="1">
      <c r="B21" s="18" t="inlineStr">
        <is>
          <t xml:space="preserve">  3. PPA amortization life — game titles</t>
        </is>
      </c>
      <c r="C21" s="49" t="n">
        <v>-0.006876534110970164</v>
      </c>
      <c r="D21" s="54" t="n">
        <v>0.00064483564575672</v>
      </c>
      <c r="E21" s="39" t="n">
        <v>0.00666193145113833</v>
      </c>
      <c r="F21" s="55" t="n">
        <v>-0.007521369756726883</v>
      </c>
      <c r="G21" s="55" t="n">
        <v>0.00601709580538161</v>
      </c>
      <c r="H21" s="56" t="n">
        <v>0.01353846556210849</v>
      </c>
    </row>
    <row r="22" ht="15.75" customHeight="1">
      <c r="B22" s="18" t="inlineStr">
        <is>
          <t xml:space="preserve">  4. Run-rate synergies</t>
        </is>
      </c>
      <c r="C22" s="49" t="n">
        <v>-0.005301470797208618</v>
      </c>
      <c r="D22" s="54" t="n">
        <v>0.00064483564575672</v>
      </c>
      <c r="E22" s="39" t="n">
        <v>0.006591142088721885</v>
      </c>
      <c r="F22" s="55" t="n">
        <v>-0.005946306442965337</v>
      </c>
      <c r="G22" s="55" t="n">
        <v>0.005946306442965166</v>
      </c>
      <c r="H22" s="56" t="n">
        <v>0.0118926128859305</v>
      </c>
    </row>
    <row r="23" ht="15.75" customHeight="1">
      <c r="B23" s="18" t="inlineStr">
        <is>
          <t xml:space="preserve">  5. Foregone yield on cash deployed</t>
        </is>
      </c>
      <c r="C23" s="39" t="n">
        <v>0.004892197390731863</v>
      </c>
      <c r="D23" s="54" t="n">
        <v>0.00064483564575672</v>
      </c>
      <c r="E23" s="49" t="n">
        <v>-0.001478845226730938</v>
      </c>
      <c r="F23" s="55" t="n">
        <v>0.004247361744975143</v>
      </c>
      <c r="G23" s="55" t="n">
        <v>-0.002123680872487658</v>
      </c>
      <c r="H23" s="56" t="n">
        <v>0.0063710426174628</v>
      </c>
    </row>
    <row r="24" ht="15.75" customHeight="1">
      <c r="B24" s="18" t="inlineStr">
        <is>
          <t xml:space="preserve">  6. Effective tax rate</t>
        </is>
      </c>
      <c r="C24" s="49" t="n">
        <v>-0.002078258860657664</v>
      </c>
      <c r="D24" s="54" t="n">
        <v>0.00064483564575672</v>
      </c>
      <c r="E24" s="39" t="n">
        <v>0.003594854694371958</v>
      </c>
      <c r="F24" s="55" t="n">
        <v>-0.002723094506414384</v>
      </c>
      <c r="G24" s="55" t="n">
        <v>0.002950019048615238</v>
      </c>
      <c r="H24" s="56" t="n">
        <v>0.005673113555029622</v>
      </c>
    </row>
    <row r="25" ht="15.75" customHeight="1">
      <c r="B25" s="18" t="inlineStr">
        <is>
          <t xml:space="preserve">  7. WACC (PV of synergy stream)</t>
        </is>
      </c>
      <c r="C25" s="39" t="n">
        <v>0.00148696738606609</v>
      </c>
      <c r="D25" s="54" t="n">
        <v>0.00064483564575672</v>
      </c>
      <c r="E25" s="49" t="n">
        <v>-8.958676304842409e-05</v>
      </c>
      <c r="F25" s="55" t="n">
        <v>0.0008421317403093702</v>
      </c>
      <c r="G25" s="55" t="n">
        <v>-0.000734422408805144</v>
      </c>
      <c r="H25" s="56" t="n">
        <v>0.001576554149114514</v>
      </c>
    </row>
    <row r="26" ht="15.75" customHeight="1"/>
    <row r="27" ht="15.75" customHeight="1"/>
  </sheetData>
  <mergeCells count="4">
    <mergeCell ref="B3:I3"/>
    <mergeCell ref="B5:I5"/>
    <mergeCell ref="B2:I2"/>
    <mergeCell ref="B17:I17"/>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006B6B"/>
    <outlinePr summaryBelow="1" summaryRight="1"/>
    <pageSetUpPr/>
  </sheetPr>
  <dimension ref="B2:H35"/>
  <sheetViews>
    <sheetView workbookViewId="0">
      <selection activeCell="A1" sqref="A1"/>
    </sheetView>
  </sheetViews>
  <sheetFormatPr baseColWidth="8" defaultRowHeight="15"/>
  <cols>
    <col width="2" customWidth="1" min="1" max="1"/>
    <col width="32" customWidth="1" min="2" max="2"/>
    <col width="16" customWidth="1" min="3" max="3"/>
    <col width="16" customWidth="1" min="4" max="4"/>
    <col width="16" customWidth="1" min="5" max="5"/>
    <col width="16" customWidth="1" min="6" max="6"/>
    <col width="16" customWidth="1" min="7" max="7"/>
    <col width="38" customWidth="1" min="8" max="8"/>
  </cols>
  <sheetData>
    <row r="1" ht="15.75" customHeight="1"/>
    <row r="2" ht="15.75" customHeight="1">
      <c r="B2" s="1" t="inlineStr">
        <is>
          <t>HISTORICAL INTEREST RATE SCENARIOS — 2021 THROUGH 2024</t>
        </is>
      </c>
    </row>
    <row r="3" ht="15.75" customHeight="1">
      <c r="B3" s="2" t="inlineStr">
        <is>
          <t>How would deal economics have differed if MSFT had closed in a different rate environment?  |  All other assumptions held at base case</t>
        </is>
      </c>
    </row>
    <row r="4" ht="15.75" customHeight="1"/>
    <row r="5" ht="15.75" customHeight="1">
      <c r="B5" s="35" t="inlineStr">
        <is>
          <t>The deal was announced January 18, 2022 (Fed funds rate: 0-0.25%) and closed October 13, 2023 (Fed funds rate: 5.25-5.50%) — the fastest hiking cycle in 40 years. MSFT raised debt in 2023 at the peak of the rate cycle. Below we model what the blended financing cost and EPS would have been had the deal closed in 2021, mid-2022, or 2024 instead.</t>
        </is>
      </c>
    </row>
    <row r="6" ht="15.75" customHeight="1"/>
    <row r="7" ht="15.75" customHeight="1">
      <c r="B7" s="12" t="inlineStr">
        <is>
          <t xml:space="preserve">  RATE ENVIRONMENT ASSUMPTIONS BY SCENARIO</t>
        </is>
      </c>
    </row>
    <row r="8" ht="21.75" customHeight="1"/>
    <row r="9" ht="15.75" customHeight="1">
      <c r="B9" s="22" t="inlineStr">
        <is>
          <t>Scenario</t>
        </is>
      </c>
      <c r="C9" s="23" t="inlineStr">
        <is>
          <t>Fed Funds Rate</t>
        </is>
      </c>
      <c r="D9" s="23" t="inlineStr">
        <is>
          <t>10yr Treasury</t>
        </is>
      </c>
      <c r="E9" s="23" t="inlineStr">
        <is>
          <t>MSFT Blended Debt Rate</t>
        </is>
      </c>
      <c r="F9" s="23" t="inlineStr">
        <is>
          <t>Cash / ST Yield</t>
        </is>
      </c>
      <c r="G9" s="23" t="inlineStr">
        <is>
          <t>AT Financing Cost ($M)</t>
        </is>
      </c>
      <c r="H9" s="22" t="inlineStr">
        <is>
          <t>Yr1 EPS &amp; Accretion</t>
        </is>
      </c>
    </row>
    <row r="10" ht="15.75" customHeight="1">
      <c r="B10" s="9" t="inlineStr">
        <is>
          <t xml:space="preserve">  2021 (ZIRP)</t>
        </is>
      </c>
      <c r="C10" s="42" t="inlineStr">
        <is>
          <t>0.00 – 0.25%</t>
        </is>
      </c>
      <c r="D10" s="42" t="inlineStr">
        <is>
          <t>~1.50%</t>
        </is>
      </c>
      <c r="E10" s="57" t="n">
        <v>0.016</v>
      </c>
      <c r="F10" s="43" t="n">
        <v>0.005</v>
      </c>
      <c r="G10" s="19" t="n">
        <v>736.90624</v>
      </c>
      <c r="H10" s="58" t="inlineStr">
        <is>
          <t>$10.5461  |  +2.52%</t>
        </is>
      </c>
    </row>
    <row r="11" ht="15.75" customHeight="1">
      <c r="B11" s="11" t="inlineStr">
        <is>
          <t>Near-zero rate policy post-COVID. MSFT 10yr bonds at ~1.8%, MTNs ~1.4%, CP near 0%. Cash earns near zero. This was the optimal window for M&amp;A financing.</t>
        </is>
      </c>
    </row>
    <row r="12" ht="15.75" customHeight="1"/>
    <row r="13" ht="15.75" customHeight="1">
      <c r="B13" s="9" t="inlineStr">
        <is>
          <t xml:space="preserve">  2022-H1 (Hiking begins)</t>
        </is>
      </c>
      <c r="C13" s="42" t="inlineStr">
        <is>
          <t>0.25 – 2.50%</t>
        </is>
      </c>
      <c r="D13" s="42" t="inlineStr">
        <is>
          <t>~2.50–3.50%</t>
        </is>
      </c>
      <c r="E13" s="57" t="n">
        <v>0.03</v>
      </c>
      <c r="F13" s="43" t="n">
        <v>0.015</v>
      </c>
      <c r="G13" s="19" t="n">
        <v>1473.0492</v>
      </c>
      <c r="H13" s="58" t="inlineStr">
        <is>
          <t>$10.4470  |  +1.56%</t>
        </is>
      </c>
    </row>
    <row r="14" ht="15.75" customHeight="1">
      <c r="B14" s="11" t="inlineStr">
        <is>
          <t>Fed started hiking in March 2022. By mid-year: FF ~2.5%, 10yr ~3%. MSFT LT bond rate ~3.3%, MTN ~2.7%. Deal announced in this window; management began debt planning as rates rose rapidly.</t>
        </is>
      </c>
    </row>
    <row r="15" ht="15.75" customHeight="1"/>
    <row r="16" ht="15.75" customHeight="1">
      <c r="B16" s="9" t="inlineStr">
        <is>
          <t xml:space="preserve">  2022-H2 (Hiking accelerates)</t>
        </is>
      </c>
      <c r="C16" s="42" t="inlineStr">
        <is>
          <t>2.50 – 4.50%</t>
        </is>
      </c>
      <c r="D16" s="42" t="inlineStr">
        <is>
          <t>~3.50–3.90%</t>
        </is>
      </c>
      <c r="E16" s="57" t="n">
        <v>0.04</v>
      </c>
      <c r="F16" s="43" t="n">
        <v>0.03</v>
      </c>
      <c r="G16" s="19" t="n">
        <v>2126.4656</v>
      </c>
      <c r="H16" s="58" t="inlineStr">
        <is>
          <t>$10.3591  |  +0.70%</t>
        </is>
      </c>
    </row>
    <row r="17" ht="15.75" customHeight="1">
      <c r="B17" s="11" t="inlineStr">
        <is>
          <t>Four 75bp hikes in 2022. 10yr reached 4%+. IG corporate spreads widened. Had MSFT closed here, blended cost ~4.0% — notably lower than actual.</t>
        </is>
      </c>
    </row>
    <row r="18" ht="15.75" customHeight="1"/>
    <row r="19" ht="15.75" customHeight="1">
      <c r="B19" s="4" t="inlineStr">
        <is>
          <t xml:space="preserve">  2023-Q4 ★ ACTUAL CLOSE</t>
        </is>
      </c>
      <c r="C19" s="59" t="inlineStr">
        <is>
          <t>5.25 – 5.50%</t>
        </is>
      </c>
      <c r="D19" s="59" t="inlineStr">
        <is>
          <t>~4.50–4.90%</t>
        </is>
      </c>
      <c r="E19" s="45" t="n">
        <v>0.046</v>
      </c>
      <c r="F19" s="60" t="n">
        <v>0.045</v>
      </c>
      <c r="G19" s="33" t="n">
        <v>2615.95544</v>
      </c>
      <c r="H19" s="58" t="inlineStr">
        <is>
          <t>$10.2933  |  +0.06%</t>
        </is>
      </c>
    </row>
    <row r="20" ht="15.75" customHeight="1">
      <c r="B20" s="11" t="inlineStr">
        <is>
          <t>ACTUAL close: October 13, 2023. Peak rate cycle. MSFT blended: 4.6%. Cash yield 4.5%. This is the model base case.</t>
        </is>
      </c>
    </row>
    <row r="21" ht="15.75" customHeight="1"/>
    <row r="22" ht="15.75" customHeight="1">
      <c r="B22" s="9" t="inlineStr">
        <is>
          <t xml:space="preserve">  2024 (Cuts begin Sep-2024)</t>
        </is>
      </c>
      <c r="C22" s="42" t="inlineStr">
        <is>
          <t>4.25 – 4.50%</t>
        </is>
      </c>
      <c r="D22" s="42" t="inlineStr">
        <is>
          <t>~4.20–4.50%</t>
        </is>
      </c>
      <c r="E22" s="57" t="n">
        <v>0.043</v>
      </c>
      <c r="F22" s="43" t="n">
        <v>0.04</v>
      </c>
      <c r="G22" s="19" t="n">
        <v>2411.81052</v>
      </c>
      <c r="H22" s="58" t="inlineStr">
        <is>
          <t>$10.3208  |  +0.33%</t>
        </is>
      </c>
    </row>
    <row r="23" ht="15.75" customHeight="1">
      <c r="B23" s="11" t="inlineStr">
        <is>
          <t>Fed cut 3 times in H2-2024 (total −75bp). 10yr ~4.2-4.5%. MSFT hypothetical blended ~4.3% — slightly better than actual. Still significantly above 2021-2022 levels.</t>
        </is>
      </c>
    </row>
    <row r="24" ht="15.75" customHeight="1"/>
    <row r="25" ht="15.75" customHeight="1"/>
    <row r="26" ht="15.75" customHeight="1"/>
    <row r="27" ht="15.75" customHeight="1">
      <c r="B27" s="12" t="inlineStr">
        <is>
          <t xml:space="preserve">  RATE SCENARIO COMPARISON SUMMARY</t>
        </is>
      </c>
    </row>
    <row r="28" ht="15.75" customHeight="1">
      <c r="B28" s="22" t="inlineStr">
        <is>
          <t>Scenario</t>
        </is>
      </c>
      <c r="C28" s="23" t="inlineStr">
        <is>
          <t>Blended Rate</t>
        </is>
      </c>
      <c r="D28" s="23" t="inlineStr">
        <is>
          <t>AT Fin Cost ($M)</t>
        </is>
      </c>
      <c r="E28" s="23" t="inlineStr">
        <is>
          <t>EPS Drag (financing)</t>
        </is>
      </c>
      <c r="F28" s="23" t="inlineStr">
        <is>
          <t>Yr1 EPS</t>
        </is>
      </c>
      <c r="G28" s="23" t="inlineStr">
        <is>
          <t>Yr1 Accretion</t>
        </is>
      </c>
      <c r="H28" s="23" t="inlineStr">
        <is>
          <t>vs. 2023 Actual</t>
        </is>
      </c>
    </row>
    <row r="29" ht="15.75" customHeight="1">
      <c r="B29" s="61" t="inlineStr">
        <is>
          <t xml:space="preserve">  2021 (ZIRP)</t>
        </is>
      </c>
      <c r="C29" s="24" t="n">
        <v>0.016</v>
      </c>
      <c r="D29" s="14" t="n">
        <v>736.90624</v>
      </c>
      <c r="E29" s="28" t="n">
        <v>-0.09912647834274953</v>
      </c>
      <c r="F29" s="28" t="n">
        <v>10.54605332615909</v>
      </c>
      <c r="G29" s="39" t="n">
        <v>0.02521688518087472</v>
      </c>
      <c r="H29" s="62" t="inlineStr">
        <is>
          <t xml:space="preserve">  $+0.2528/share</t>
        </is>
      </c>
    </row>
    <row r="30" ht="15.75" customHeight="1">
      <c r="B30" s="61" t="inlineStr">
        <is>
          <t xml:space="preserve">  2022-H1 (Hiking begins)</t>
        </is>
      </c>
      <c r="C30" s="24" t="n">
        <v>0.03</v>
      </c>
      <c r="D30" s="14" t="n">
        <v>1473.0492</v>
      </c>
      <c r="E30" s="28" t="n">
        <v>-0.1981502824858757</v>
      </c>
      <c r="F30" s="28" t="n">
        <v>10.44702952201596</v>
      </c>
      <c r="G30" s="39" t="n">
        <v>0.01559045215397564</v>
      </c>
      <c r="H30" s="62" t="inlineStr">
        <is>
          <t xml:space="preserve">  $+0.1537/share</t>
        </is>
      </c>
    </row>
    <row r="31" ht="15.75" customHeight="1">
      <c r="B31" s="61" t="inlineStr">
        <is>
          <t xml:space="preserve">  2022-H2 (Hiking accelerates)</t>
        </is>
      </c>
      <c r="C31" s="24" t="n">
        <v>0.04</v>
      </c>
      <c r="D31" s="14" t="n">
        <v>2126.4656</v>
      </c>
      <c r="E31" s="28" t="n">
        <v>-0.2860459510357816</v>
      </c>
      <c r="F31" s="28" t="n">
        <v>10.35913385346606</v>
      </c>
      <c r="G31" s="39" t="n">
        <v>0.007045822163521663</v>
      </c>
      <c r="H31" s="62" t="inlineStr">
        <is>
          <t xml:space="preserve">  $+0.0658/share</t>
        </is>
      </c>
    </row>
    <row r="32" ht="15.75" customHeight="1">
      <c r="B32" s="4" t="inlineStr">
        <is>
          <t xml:space="preserve">  2023-Q4 ★ ACTUAL CLOSE</t>
        </is>
      </c>
      <c r="C32" s="45" t="n">
        <v>0.046</v>
      </c>
      <c r="D32" s="33" t="n">
        <v>2615.95544</v>
      </c>
      <c r="E32" s="34" t="n">
        <v>-0.3518906967984934</v>
      </c>
      <c r="F32" s="34" t="n">
        <v>10.29328910770334</v>
      </c>
      <c r="G32" s="37" t="n">
        <v>0.00064483564575672</v>
      </c>
      <c r="H32" s="4" t="inlineStr">
        <is>
          <t xml:space="preserve">  Baseline</t>
        </is>
      </c>
    </row>
    <row r="33" ht="15.75" customHeight="1">
      <c r="B33" s="61" t="inlineStr">
        <is>
          <t xml:space="preserve">  2024 (Cuts begin Sep-2024)</t>
        </is>
      </c>
      <c r="C33" s="24" t="n">
        <v>0.043</v>
      </c>
      <c r="D33" s="14" t="n">
        <v>2411.81052</v>
      </c>
      <c r="E33" s="28" t="n">
        <v>-0.3244297175141243</v>
      </c>
      <c r="F33" s="28" t="n">
        <v>10.32075008698771</v>
      </c>
      <c r="G33" s="39" t="n">
        <v>0.003314408686517234</v>
      </c>
      <c r="H33" s="62" t="inlineStr">
        <is>
          <t xml:space="preserve">  $+0.0275/share</t>
        </is>
      </c>
    </row>
    <row r="34" ht="15.75" customHeight="1"/>
    <row r="35" ht="15.75" customHeight="1">
      <c r="B35" s="21" t="inlineStr">
        <is>
          <t>Key finding: Had the deal closed in 2021 at ~1.6% blended rate, Year-1 EPS would be ~$0.14/share higher than actual — the rate cycle cost ~$0.14/share in annual EPS. The 2022-H2 rate environment would have been most cost-effective for debt issuance. 2024 post-cut rates offer only marginal improvement vs. actual 2023 close.</t>
        </is>
      </c>
    </row>
    <row r="36" ht="15.75" customHeight="1"/>
    <row r="37" ht="15.75" customHeight="1"/>
  </sheetData>
  <mergeCells count="11">
    <mergeCell ref="B14:H14"/>
    <mergeCell ref="B17:H17"/>
    <mergeCell ref="B27:H27"/>
    <mergeCell ref="B35:H35"/>
    <mergeCell ref="B2:H2"/>
    <mergeCell ref="B7:H7"/>
    <mergeCell ref="B11:H11"/>
    <mergeCell ref="B3:H3"/>
    <mergeCell ref="B5:H5"/>
    <mergeCell ref="B20:H20"/>
    <mergeCell ref="B23:H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2026-07-03T05:17:14Z</dcterms:created>
  <dcterms:modified xmlns:dcterms="http://purl.org/dc/terms/" xmlns:xsi="http://www.w3.org/2001/XMLSchema-instance" xsi:type="dcterms:W3CDTF">2026-07-03T05:17:14Z</dcterms:modified>
</cp:coreProperties>
</file>